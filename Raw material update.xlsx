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material" sheetId="1" r:id="rId4"/>
    <sheet state="visible" name="Inventory" sheetId="2" r:id="rId5"/>
    <sheet state="visible" name="Log" sheetId="3" r:id="rId6"/>
    <sheet state="visible" name="Package" sheetId="4" r:id="rId7"/>
    <sheet state="visible" name="Sticker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2">
      <text>
        <t xml:space="preserve">Formula changed              @  October 
So TC 
Edited 27-10-2025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Anas Abdalla:
Need total 160
removed 40
</t>
      </text>
    </comment>
    <comment authorId="0" ref="T10">
      <text>
        <t xml:space="preserve">Anas Abdalla:
990 KG</t>
      </text>
    </comment>
    <comment authorId="0" ref="M11">
      <text>
        <t xml:space="preserve">Anas Abdalla:
100 KG</t>
      </text>
    </comment>
    <comment authorId="0" ref="K15">
      <text>
        <t xml:space="preserve">Anas Abdalla:
110
</t>
      </text>
    </comment>
    <comment authorId="0" ref="P15">
      <text>
        <t xml:space="preserve">Anas Abdalla:
20
</t>
      </text>
    </comment>
    <comment authorId="0" ref="R29">
      <text>
        <t xml:space="preserve">Anas Abdalla:
Total 4200
Removed 1400</t>
      </text>
    </comment>
    <comment authorId="0" ref="U46">
      <text>
        <t xml:space="preserve">Anas Abdalla:
20 KG</t>
      </text>
    </comment>
    <comment authorId="0" ref="L69">
      <text>
        <t xml:space="preserve">Anas Abdalla:
100 KG</t>
      </text>
    </comment>
    <comment authorId="0" ref="K75">
      <text>
        <t xml:space="preserve">Anas Abdalla:
Total 160
removed 80
</t>
      </text>
    </comment>
    <comment authorId="0" ref="O75">
      <text>
        <t xml:space="preserve">Anas Abdalla:
Total 120 
Removed 60
</t>
      </text>
    </comment>
    <comment authorId="0" ref="Q75">
      <text>
        <t xml:space="preserve">Anas Abdalla:
Total 200
Removed 100
</t>
      </text>
    </comment>
    <comment authorId="0" ref="N76">
      <text>
        <t xml:space="preserve">Anas Abdalla:
59 KG
</t>
      </text>
    </comment>
    <comment authorId="0" ref="K78">
      <text>
        <t xml:space="preserve">Anas Abdalla:
 not 100% 
will remove 5 KG
</t>
      </text>
    </comment>
    <comment authorId="0" ref="S79">
      <text>
        <t xml:space="preserve">Anas Abdalla:
96 %</t>
      </text>
    </comment>
    <comment authorId="0" ref="V85">
      <text>
        <t xml:space="preserve">Anas Abdalla:
5445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1">
      <text>
        <t xml:space="preserve">Anas Abdalla:
81  Boost
163  Forte
98  Fabic 566</t>
      </text>
    </comment>
    <comment authorId="0" ref="S91">
      <text>
        <t xml:space="preserve">Anas Abdalla:
50 Color
85 (2)Complete</t>
      </text>
    </comment>
    <comment authorId="0" ref="G92">
      <text>
        <t xml:space="preserve">Anas Abdalla:
103 Oilgo</t>
      </text>
    </comment>
    <comment authorId="0" ref="J92">
      <text>
        <t xml:space="preserve">Anas Abdalla:
318 Way Foam
188 Way Force
300 Surface</t>
      </text>
    </comment>
    <comment authorId="0" ref="X92">
      <text>
        <t xml:space="preserve">Anas Abdalla:
194 Way Foam
94 Way Force
150 Surface</t>
      </text>
    </comment>
    <comment authorId="0" ref="G93">
      <text>
        <t xml:space="preserve">Anas Abdalla:
212 Oilaway</t>
      </text>
    </comment>
    <comment authorId="0" ref="H93">
      <text>
        <t xml:space="preserve">Anas Abdalla:
84 Bleach
90 Oxygen</t>
      </text>
    </comment>
    <comment authorId="0" ref="I93">
      <text>
        <t xml:space="preserve">Anas Abdalla:
231 Gain</t>
      </text>
    </comment>
    <comment authorId="0" ref="T93">
      <text>
        <t xml:space="preserve">Anas Abdalla:
50 Drain</t>
      </text>
    </comment>
    <comment authorId="0" ref="F94">
      <text>
        <t xml:space="preserve">Anas Abdalla:
99 Clear</t>
      </text>
    </comment>
    <comment authorId="0" ref="J94">
      <text>
        <t xml:space="preserve">Anas Abdalla:
394 S3 conc
S5 Conc</t>
      </text>
    </comment>
    <comment authorId="0" ref="T94">
      <text>
        <t xml:space="preserve">Anas Abdalla:
200 Dip
100 White</t>
      </text>
    </comment>
    <comment authorId="0" ref="F95">
      <text>
        <t xml:space="preserve">Anas Abdalla:
96 Fabic 566</t>
      </text>
    </comment>
    <comment authorId="0" ref="G95">
      <text>
        <t xml:space="preserve">Anas Abdalla:
101 Essential</t>
      </text>
    </comment>
    <comment authorId="0" ref="M96">
      <text>
        <t xml:space="preserve">Anas Abdalla:
1290 S6</t>
      </text>
    </comment>
    <comment authorId="0" ref="M97">
      <text>
        <t xml:space="preserve">Anas Abdalla:
1302 S1</t>
      </text>
    </comment>
    <comment authorId="0" ref="U97">
      <text>
        <t xml:space="preserve">Anas Abdalla:
333 bright</t>
      </text>
    </comment>
    <comment authorId="0" ref="F98">
      <text>
        <t xml:space="preserve">Anas Abdalla:
100 Prime</t>
      </text>
    </comment>
    <comment authorId="0" ref="J98">
      <text>
        <t xml:space="preserve">Anas Abdalla:
391 HandBac</t>
      </text>
    </comment>
    <comment authorId="0" ref="L98">
      <text>
        <t xml:space="preserve">Anas Abdalla:
1338 S5
1344 S3</t>
      </text>
    </comment>
    <comment authorId="0" ref="S98">
      <text>
        <t xml:space="preserve">Anas Abdalla:
100 Alkazol</t>
      </text>
    </comment>
    <comment authorId="0" ref="F99">
      <text>
        <t xml:space="preserve">Anas Abdalla:
162 Forte</t>
      </text>
    </comment>
    <comment authorId="0" ref="P99">
      <text>
        <t xml:space="preserve">Anas Abdalla:
444 Alco Gel
</t>
      </text>
    </comment>
    <comment authorId="0" ref="T99">
      <text>
        <t xml:space="preserve">Anas Abdalla:
598 Drain</t>
      </text>
    </comment>
    <comment authorId="0" ref="F100">
      <text>
        <t xml:space="preserve">Anas Abdalla:
81 Boost
100 Clear</t>
      </text>
    </comment>
    <comment authorId="0" ref="I100">
      <text>
        <t xml:space="preserve">Anas Abdalla:
784 Gain</t>
      </text>
    </comment>
    <comment authorId="0" ref="Q100">
      <text>
        <t xml:space="preserve">Anas Abdalla:
1540 Gel</t>
      </text>
    </comment>
    <comment authorId="0" ref="U100">
      <text>
        <t xml:space="preserve">Anas Abdalla:
333 Drain</t>
      </text>
    </comment>
    <comment authorId="0" ref="J101">
      <text>
        <t xml:space="preserve">Anas Abdalla:
356  S1 conc
204  S3 conc
396 botanic</t>
      </text>
    </comment>
    <comment authorId="0" ref="L101">
      <text>
        <t xml:space="preserve">Anas Abdalla:
1338 S4</t>
      </text>
    </comment>
  </commentList>
</comments>
</file>

<file path=xl/sharedStrings.xml><?xml version="1.0" encoding="utf-8"?>
<sst xmlns="http://schemas.openxmlformats.org/spreadsheetml/2006/main" count="1519" uniqueCount="487">
  <si>
    <t>Crystal Forte</t>
  </si>
  <si>
    <t>Crystal Clear</t>
  </si>
  <si>
    <t>Crystal Gain</t>
  </si>
  <si>
    <t>Crystal De-lime</t>
  </si>
  <si>
    <t>Crystal Dip</t>
  </si>
  <si>
    <t>Crystal Degreaser EX</t>
  </si>
  <si>
    <t xml:space="preserve"> Crystal Grill</t>
  </si>
  <si>
    <t>Crystal Silver</t>
  </si>
  <si>
    <t>Crystal Stainless</t>
  </si>
  <si>
    <t>Crystal Decho</t>
  </si>
  <si>
    <t>Crystal Drain</t>
  </si>
  <si>
    <t>Crystal Quat</t>
  </si>
  <si>
    <t>Crystal Bright</t>
  </si>
  <si>
    <t>Crystal Sani Gain</t>
  </si>
  <si>
    <t>Crystal Surfaces</t>
  </si>
  <si>
    <t>Crystal Sanidet</t>
  </si>
  <si>
    <t>Crystal lime</t>
  </si>
  <si>
    <t>Crystal Alcosan</t>
  </si>
  <si>
    <t xml:space="preserve">Magic
 light </t>
  </si>
  <si>
    <t>Magic Neutral</t>
  </si>
  <si>
    <t>Safe Boost</t>
  </si>
  <si>
    <t>Safe Alkazol</t>
  </si>
  <si>
    <t>Safe oilgo</t>
  </si>
  <si>
    <t>Safe Essential</t>
  </si>
  <si>
    <t>Safe Complete</t>
  </si>
  <si>
    <t>Safe color</t>
  </si>
  <si>
    <t>Safe Bleach</t>
  </si>
  <si>
    <t>Safe Oxygen</t>
  </si>
  <si>
    <t xml:space="preserve"> Safe white</t>
  </si>
  <si>
    <t>Safe Sour</t>
  </si>
  <si>
    <t>Safe Prime</t>
  </si>
  <si>
    <t>Safe Rust</t>
  </si>
  <si>
    <t xml:space="preserve"> Safe Actifos</t>
  </si>
  <si>
    <t>Safe Oilaway</t>
  </si>
  <si>
    <t>Safe Iron Blaster</t>
  </si>
  <si>
    <t>Safe Echo Forte</t>
  </si>
  <si>
    <t>Safe Force</t>
  </si>
  <si>
    <t>Safe Intense new</t>
  </si>
  <si>
    <t>Safe Neutra Soft</t>
  </si>
  <si>
    <t>Safe Advance</t>
  </si>
  <si>
    <t>Safe Echo</t>
  </si>
  <si>
    <t>Safe breeze</t>
  </si>
  <si>
    <t>Safe All</t>
  </si>
  <si>
    <t>Safe Starch</t>
  </si>
  <si>
    <t>Touch Handbac</t>
  </si>
  <si>
    <t>Touch foam</t>
  </si>
  <si>
    <t>Touch Botanic Shampoo and Body 2x5</t>
  </si>
  <si>
    <t>Touch Botanic H&amp;B Head and Body 12x500 ml</t>
  </si>
  <si>
    <t>Touch Botanic
 Hand &amp; Face</t>
  </si>
  <si>
    <t>Touch Peach</t>
  </si>
  <si>
    <t>Touch Adams</t>
  </si>
  <si>
    <t>Touch Soft</t>
  </si>
  <si>
    <t>Touch Botanic</t>
  </si>
  <si>
    <t>Touch Alcodis</t>
  </si>
  <si>
    <t>Touch lavander 
hand and face</t>
  </si>
  <si>
    <t xml:space="preserve">Touch lavender 
shampoo and body </t>
  </si>
  <si>
    <t>Touch pearl</t>
  </si>
  <si>
    <t>Touch Foam Bac</t>
  </si>
  <si>
    <t>Care Alco Gel</t>
  </si>
  <si>
    <t>Care Alcodis</t>
  </si>
  <si>
    <t>Care Sani Gel</t>
  </si>
  <si>
    <t>Speed Toilet S1</t>
  </si>
  <si>
    <t>Speed Toilet S1 Conc</t>
  </si>
  <si>
    <t>Speed Multi S2</t>
  </si>
  <si>
    <t>Speed Multi S2 Conc</t>
  </si>
  <si>
    <t xml:space="preserve"> Speed Glass S3</t>
  </si>
  <si>
    <t>Speed Glass S3 Conc</t>
  </si>
  <si>
    <t>Speed Furniture S4</t>
  </si>
  <si>
    <t xml:space="preserve">Speed Fresh S5 </t>
  </si>
  <si>
    <t>Speed Fresh S5 Conc</t>
  </si>
  <si>
    <t xml:space="preserve">Speed Flush S6 </t>
  </si>
  <si>
    <t>Speed Scouring S7</t>
  </si>
  <si>
    <t>Speed Ketle S8</t>
  </si>
  <si>
    <t>Speed Hygenic breeze</t>
  </si>
  <si>
    <t>way extract</t>
  </si>
  <si>
    <t>way foam</t>
  </si>
  <si>
    <t>way lime</t>
  </si>
  <si>
    <t xml:space="preserve">Way Force </t>
  </si>
  <si>
    <t xml:space="preserve">way auto best </t>
  </si>
  <si>
    <t>way best</t>
  </si>
  <si>
    <t>way strip</t>
  </si>
  <si>
    <t xml:space="preserve">way polish </t>
  </si>
  <si>
    <t>Fabic NL 556</t>
  </si>
  <si>
    <t>Fabic CL 139T</t>
  </si>
  <si>
    <t>Fabic KL574F</t>
  </si>
  <si>
    <t>Fabic DL144Q</t>
  </si>
  <si>
    <t>Total</t>
  </si>
  <si>
    <t>Itemcode</t>
  </si>
  <si>
    <t>Trade Name</t>
  </si>
  <si>
    <t>ERM00003</t>
  </si>
  <si>
    <t>DYE BLUE (CI 42051) (Acid Blue 3)</t>
  </si>
  <si>
    <t>ERM00004</t>
  </si>
  <si>
    <t>LUTENSOL A07 / GALAXY MW257</t>
  </si>
  <si>
    <t>ERM00005</t>
  </si>
  <si>
    <t>DYE BLUE  (CI 61585) (Acid Blue 80)</t>
  </si>
  <si>
    <t>ERM00007</t>
  </si>
  <si>
    <t>DYE BLUE (CI 42090) (Acid Blue 9) (40%)</t>
  </si>
  <si>
    <t>ERM00008</t>
  </si>
  <si>
    <t>LUTENSOL A03 - GALAXY MW 253</t>
  </si>
  <si>
    <t>ERM00009</t>
  </si>
  <si>
    <t>MONOTROP 1620</t>
  </si>
  <si>
    <t>ERM00010</t>
  </si>
  <si>
    <t>DYE YELLOW (CI 19140) (Acid Yellow 23)</t>
  </si>
  <si>
    <t>ERM00013</t>
  </si>
  <si>
    <t>GENAPOL BE 2810 - DEHYPON LT 104</t>
  </si>
  <si>
    <t>ERM00014</t>
  </si>
  <si>
    <t>LUTENSOL TO129</t>
  </si>
  <si>
    <t>ERM00015</t>
  </si>
  <si>
    <t>LUTENSOL TO8</t>
  </si>
  <si>
    <t>ERM00017</t>
  </si>
  <si>
    <t>PLURAFAC LF221 - 100% - DOWFAX 20B102</t>
  </si>
  <si>
    <t>ERM00018</t>
  </si>
  <si>
    <t>EMPIGEN BSF/A</t>
  </si>
  <si>
    <t>ERM00019</t>
  </si>
  <si>
    <t>EMPIGEN BAC 50 - BTC 50%</t>
  </si>
  <si>
    <t>ERM00020</t>
  </si>
  <si>
    <t>NANSA SSA/U - MARLON AS3</t>
  </si>
  <si>
    <t>ERM00021</t>
  </si>
  <si>
    <t>BAYHIBIT AM - SEQUEST 700A - CUBLEN P50 - CONNECT PBTC</t>
  </si>
  <si>
    <t>ERM00023</t>
  </si>
  <si>
    <t>ELTESOL SC40 - STEPANATE SCS 40</t>
  </si>
  <si>
    <t>ERM00024</t>
  </si>
  <si>
    <t>SILICONE EMULSION - LE 46 - RHODOSIL E1P</t>
  </si>
  <si>
    <t>ERM00025</t>
  </si>
  <si>
    <t>PRIFAC 7908 - PALMERA B1220 - EDENOR PK 12-18 GA</t>
  </si>
  <si>
    <t>ERM00027</t>
  </si>
  <si>
    <t>EMPIGEN OB/EB - AMMONYX LO</t>
  </si>
  <si>
    <t>ERM00028</t>
  </si>
  <si>
    <t>TINOPAL CBS-X - CF-351</t>
  </si>
  <si>
    <t>ERM00029</t>
  </si>
  <si>
    <t>PERFUME AR 621591 ALDEHYDE COMPOUND SPR MLT LPV - OZONIC MULTI - (GC2465)</t>
  </si>
  <si>
    <t>ERM00030</t>
  </si>
  <si>
    <t>GENAMINE CS302D - ARMEEN 2MCD - EMBIGEN AB/E - NORAM DMCD</t>
  </si>
  <si>
    <t>ERM00031</t>
  </si>
  <si>
    <t>STEPANTEX VK 90 - NOXAMIUM 920A - CAFLON EQ90 / eterol 100</t>
  </si>
  <si>
    <t>ERM00032</t>
  </si>
  <si>
    <t>MAGNESIUM SULPHATE 7H20- EPSOM</t>
  </si>
  <si>
    <t>ERM00033</t>
  </si>
  <si>
    <t>DOWANOL DPM - SOLVENON DPM - ARCOSOLV DPM</t>
  </si>
  <si>
    <t>ERM00034</t>
  </si>
  <si>
    <t>2-ETHYL HEXANOIC ACID</t>
  </si>
  <si>
    <t>ERM00035</t>
  </si>
  <si>
    <t>TRILON M LIQUID</t>
  </si>
  <si>
    <t>ERM00039</t>
  </si>
  <si>
    <t>ADDITIVE CL11 - SILWET L-7002 - SP3300</t>
  </si>
  <si>
    <t>ERM00040</t>
  </si>
  <si>
    <t>ACCUSOL 445 - SOKALAN PA 25</t>
  </si>
  <si>
    <t>ERM00043</t>
  </si>
  <si>
    <t>CITRIC ACID MONO</t>
  </si>
  <si>
    <t>ERM00049</t>
  </si>
  <si>
    <t>POTASSIUM SORBATE</t>
  </si>
  <si>
    <t>ERM00053</t>
  </si>
  <si>
    <t>TRILON B87%</t>
  </si>
  <si>
    <t>ERM00056</t>
  </si>
  <si>
    <t>DEQUEST 2010 - CODEX 661 - CUBLEN K60 - CONNECT HEDP</t>
  </si>
  <si>
    <t>ERM00057</t>
  </si>
  <si>
    <t>DEQUEST 2000 - CONNECT ATMP</t>
  </si>
  <si>
    <t>ERM00064</t>
  </si>
  <si>
    <t>DYE ORANGE (CI 15985) (Food Yellow 3)</t>
  </si>
  <si>
    <t>ERM00066</t>
  </si>
  <si>
    <t>DYE YELLOW (CI 18965) (Acid Yellow 17)</t>
  </si>
  <si>
    <t>ERM00068</t>
  </si>
  <si>
    <t>DYE RED (CI 45100) (Acid Red 52)</t>
  </si>
  <si>
    <t>ERM00069</t>
  </si>
  <si>
    <t>DYE RED (CI 16185) (Acid Red 27)</t>
  </si>
  <si>
    <t>ERM00070</t>
  </si>
  <si>
    <t>DYE RED (CI 14720) (Acid Red 14)</t>
  </si>
  <si>
    <t>ERM00081</t>
  </si>
  <si>
    <t>ARQUAD 2. 10-80</t>
  </si>
  <si>
    <t>ERM00082</t>
  </si>
  <si>
    <t>ARQUAD T-50HFP</t>
  </si>
  <si>
    <t>ERM00084</t>
  </si>
  <si>
    <t>DOWANOL PNP - ARCOSOLV PNP</t>
  </si>
  <si>
    <t>ERM00085</t>
  </si>
  <si>
    <t>TRISODIUM CITRATE Med N 1560</t>
  </si>
  <si>
    <t>ERM00090</t>
  </si>
  <si>
    <t>ELTESOL SX40 - STEPANATE SXS E</t>
  </si>
  <si>
    <t>ERM00092</t>
  </si>
  <si>
    <t>DYE RED (CI 16255) (Acid Red 18)</t>
  </si>
  <si>
    <t>ERM00093</t>
  </si>
  <si>
    <t>Dye Blue (CI 74180) - Direct Blue 86</t>
  </si>
  <si>
    <t>ERM00095</t>
  </si>
  <si>
    <t>MACKAM DP-122</t>
  </si>
  <si>
    <t>ERM00102</t>
  </si>
  <si>
    <t>SALCARE SC 10 - MIRAPOL 550E</t>
  </si>
  <si>
    <t>ERM00104</t>
  </si>
  <si>
    <t>EMAL 270D - TEXAPON 70 - NATEROL N70</t>
  </si>
  <si>
    <t>ERM00105</t>
  </si>
  <si>
    <t>AKYPO SAL 2010S - EMPIPEARL XA 500 - EUPERLAN PK 300 OK</t>
  </si>
  <si>
    <t>ERM00110</t>
  </si>
  <si>
    <t>EMPILAN 2502 (80%)</t>
  </si>
  <si>
    <t>ERM00111</t>
  </si>
  <si>
    <t>GLYDANT LTD (55%)</t>
  </si>
  <si>
    <t>ERM00115</t>
  </si>
  <si>
    <t>IRGASAN DP 300 - TRICLORAL 300</t>
  </si>
  <si>
    <t>ERM00117</t>
  </si>
  <si>
    <t>HMA</t>
  </si>
  <si>
    <t>ERM00118</t>
  </si>
  <si>
    <t>POTASSIUM PERMANGANATE</t>
  </si>
  <si>
    <t>ERM00119</t>
  </si>
  <si>
    <t>GLYCERIN 99.5%</t>
  </si>
  <si>
    <t>ERM00122</t>
  </si>
  <si>
    <t>TRIETHANOLAMINE (99%)</t>
  </si>
  <si>
    <t>ERM00125</t>
  </si>
  <si>
    <t>PLURAFAC LF403 - DOWFAX 20A42</t>
  </si>
  <si>
    <t>ERM00137</t>
  </si>
  <si>
    <t>TOTALCHLOR 56 COARSE / neochlor 55mg/sdic 56% medium</t>
  </si>
  <si>
    <t>ERM00143</t>
  </si>
  <si>
    <t>PLURAFAC LF431</t>
  </si>
  <si>
    <t>ERM00144</t>
  </si>
  <si>
    <t>PLURAFAC LF401</t>
  </si>
  <si>
    <t>ERM00145</t>
  </si>
  <si>
    <t>SOKALAN CP5 GRANULES</t>
  </si>
  <si>
    <t>ERM00148</t>
  </si>
  <si>
    <t>CARBOPOL 941 POLYMER</t>
  </si>
  <si>
    <t>ERM00152</t>
  </si>
  <si>
    <t>TINOPAL DMA-X / OPTIBLANC NC</t>
  </si>
  <si>
    <t>ERM00154</t>
  </si>
  <si>
    <t>DEQUEST 2047</t>
  </si>
  <si>
    <t>ERM00159</t>
  </si>
  <si>
    <t>SODUM TRISILICATE 84% - POWDER</t>
  </si>
  <si>
    <t>ERM00162</t>
  </si>
  <si>
    <t>GLYCOLIC ACID 70E</t>
  </si>
  <si>
    <t>ERM00165</t>
  </si>
  <si>
    <r>
      <rPr>
        <rFont val="Calibri"/>
        <sz val="11.0"/>
      </rPr>
      <t>BEROL OX 91-8 / NEODOL91-</t>
    </r>
    <r>
      <rPr>
        <rFont val="Calibri"/>
        <color rgb="FFFF0000"/>
        <sz val="11.0"/>
      </rPr>
      <t>8</t>
    </r>
  </si>
  <si>
    <t>ERM00166</t>
  </si>
  <si>
    <t>PERFUME SPRING FLOWER MATCH AR682767 k94446</t>
  </si>
  <si>
    <t>ERM00168</t>
  </si>
  <si>
    <t>PERFUME SILK AND ORCHID AR345454</t>
  </si>
  <si>
    <t>ERM00169</t>
  </si>
  <si>
    <t>PERFUME FLORAL GARDEN FABCON AR345400</t>
  </si>
  <si>
    <t>ERM00170</t>
  </si>
  <si>
    <t>PERFUME CITRUS PINE AR339135</t>
  </si>
  <si>
    <t>ERM00171</t>
  </si>
  <si>
    <t>PERFUME APRIL FRESH AR345398</t>
  </si>
  <si>
    <t>ERM00172</t>
  </si>
  <si>
    <t>PERFUME FLORAL FRESH MOD AR819859</t>
  </si>
  <si>
    <t>ERM00173</t>
  </si>
  <si>
    <t>PERFUME NEVENA AR345483</t>
  </si>
  <si>
    <t>ERM00174</t>
  </si>
  <si>
    <t>Perfume Fantastic Lemon - Lime AR846348</t>
  </si>
  <si>
    <t>ERM00176</t>
  </si>
  <si>
    <t>IODINE PRILLS</t>
  </si>
  <si>
    <t>ERM00177</t>
  </si>
  <si>
    <t>SORBITOL 70</t>
  </si>
  <si>
    <t>ERM00181</t>
  </si>
  <si>
    <t>EMULAN A</t>
  </si>
  <si>
    <t>ERM00182</t>
  </si>
  <si>
    <t>SALICYLIC ACID</t>
  </si>
  <si>
    <t>ERM00184</t>
  </si>
  <si>
    <t>WAX EMULSION</t>
  </si>
  <si>
    <t>ERM00185</t>
  </si>
  <si>
    <t>ACRYLIC FLOOR POLISH</t>
  </si>
  <si>
    <t>ERM00188</t>
  </si>
  <si>
    <t>SILICONE FLUID 350 - WACKER AK350</t>
  </si>
  <si>
    <t>ERM00189</t>
  </si>
  <si>
    <t>SILICONE 1000 - DOMAROL DM1000</t>
  </si>
  <si>
    <t>ERM00190</t>
  </si>
  <si>
    <t>PERFUME LAVENDER BOTANIC AR387970</t>
  </si>
  <si>
    <t>ERM00191</t>
  </si>
  <si>
    <t>PERFUME COTTON BOTANIC AR387971</t>
  </si>
  <si>
    <t>ERM00193</t>
  </si>
  <si>
    <t>COSMOROL GQ6</t>
  </si>
  <si>
    <t>ERM00196</t>
  </si>
  <si>
    <t>PERFUME FRESH AROMACORE AR399750</t>
  </si>
  <si>
    <t>ERM00197</t>
  </si>
  <si>
    <t>PERFUME INFINITY AR404669</t>
  </si>
  <si>
    <t>ERM00198</t>
  </si>
  <si>
    <t>PERFUME MISS GABRIELLE AR404671</t>
  </si>
  <si>
    <t>ERM00202</t>
  </si>
  <si>
    <t>SODIUM SILICOFLUORIDE</t>
  </si>
  <si>
    <t>ERM00204</t>
  </si>
  <si>
    <t>KENCIDE C70 - (ACTIVA 2112)</t>
  </si>
  <si>
    <t>ERM00207</t>
  </si>
  <si>
    <t>PERFUME PROFAROL JA211 JASMINE</t>
  </si>
  <si>
    <t>ERM00208</t>
  </si>
  <si>
    <t>PERFUME PROFAROL 14822 LAVENDER</t>
  </si>
  <si>
    <t>ERM00209</t>
  </si>
  <si>
    <t>PERFUME PROFAROL PA10368 FOLL</t>
  </si>
  <si>
    <t>ERM00210</t>
  </si>
  <si>
    <t>PERFUME PROFAROL 14821 WHITE MUSK</t>
  </si>
  <si>
    <t>ERM00211</t>
  </si>
  <si>
    <t>EMAROL 20 (SORBITAM MONOLAUREATE)</t>
  </si>
  <si>
    <t>ERM00212</t>
  </si>
  <si>
    <t>PERFUME PEACH CALIFORNIA G507226</t>
  </si>
  <si>
    <t>ERM00214</t>
  </si>
  <si>
    <t>PERFUME DOVANA 073CG09054</t>
  </si>
  <si>
    <t>ERM0102</t>
  </si>
  <si>
    <t>SODIUM META SILICATE ANHYDROUS</t>
  </si>
  <si>
    <t>ERM0109</t>
  </si>
  <si>
    <t>ANTIFOAM GRANULE</t>
  </si>
  <si>
    <t>ERM0110</t>
  </si>
  <si>
    <t>PROTEASE - PROFINASE COMBI</t>
  </si>
  <si>
    <t>ERM0110L</t>
  </si>
  <si>
    <t>Protease - Enzyrol AP Liquid</t>
  </si>
  <si>
    <t>ERM0111</t>
  </si>
  <si>
    <t>SODIUM SULPHATE</t>
  </si>
  <si>
    <t>ERM0112</t>
  </si>
  <si>
    <t>ACCUSOL 820 / EBCA 3020</t>
  </si>
  <si>
    <t>ERM0113</t>
  </si>
  <si>
    <t>CALCIUM CARBONATE 90 MICRON - ASCOUM 8</t>
  </si>
  <si>
    <t>ERM0115</t>
  </si>
  <si>
    <t>NONYLLPHENOL C10 - NP10</t>
  </si>
  <si>
    <t>ERM0116</t>
  </si>
  <si>
    <t>HYDROVITON 113837</t>
  </si>
  <si>
    <t>ERM0117</t>
  </si>
  <si>
    <t>PERFUME ROYAL JASMINE Mod AR566677</t>
  </si>
  <si>
    <t>ERM500001</t>
  </si>
  <si>
    <t>2-PROPANOL (99%) -IPA</t>
  </si>
  <si>
    <t>ERM500002</t>
  </si>
  <si>
    <t>ACETIC ACID (90%)</t>
  </si>
  <si>
    <t>ERM500003</t>
  </si>
  <si>
    <t>CALCIUM CHLORIDE - 2H2O</t>
  </si>
  <si>
    <t>ERM500005</t>
  </si>
  <si>
    <t>GLUCONIC ACID NA-SALT / sodium gluconate powder</t>
  </si>
  <si>
    <t>ERM500006</t>
  </si>
  <si>
    <t>HYDROGEN PEROXIDE (50%)</t>
  </si>
  <si>
    <t>ERM500010</t>
  </si>
  <si>
    <t>POTASSIUM HYDROXIDE (90%)</t>
  </si>
  <si>
    <t>ERM500011</t>
  </si>
  <si>
    <t>SODIUM CARBONATE (LIGHT)</t>
  </si>
  <si>
    <t>ERM500013</t>
  </si>
  <si>
    <t>SODIUM HYDROXIDE (98%) micropearl</t>
  </si>
  <si>
    <t>ERM500013L</t>
  </si>
  <si>
    <t>SODIUM HYDROXIDE LIQUID</t>
  </si>
  <si>
    <t>ERM500014</t>
  </si>
  <si>
    <t>SODIUM HYPOCHLORITE (12.5%)</t>
  </si>
  <si>
    <t>ERM500016</t>
  </si>
  <si>
    <t>MONOETHANOLAMINE (99%)</t>
  </si>
  <si>
    <t>ERM500017</t>
  </si>
  <si>
    <t>ODOURLESS KEROSENE</t>
  </si>
  <si>
    <t>ERM500018</t>
  </si>
  <si>
    <t>PHOSPHORIC ACID 85%</t>
  </si>
  <si>
    <t>ERM500019</t>
  </si>
  <si>
    <t>TARTARIC ACID</t>
  </si>
  <si>
    <t>ERM500020</t>
  </si>
  <si>
    <t>UREA</t>
  </si>
  <si>
    <t>ERM500021</t>
  </si>
  <si>
    <t>SODIUM META SILICATE - PENTA</t>
  </si>
  <si>
    <t>ERM500023</t>
  </si>
  <si>
    <t>CMC - FINNFIX 150G IND - TYLOSE C30</t>
  </si>
  <si>
    <t>ERM500025</t>
  </si>
  <si>
    <t>ACCUSOL OB 301 - LYTRON 180 AV</t>
  </si>
  <si>
    <t>ERM500026</t>
  </si>
  <si>
    <t>SODUM SILICATE NA5</t>
  </si>
  <si>
    <t>ERM500028</t>
  </si>
  <si>
    <t>THIOUREA</t>
  </si>
  <si>
    <t>ERM500029</t>
  </si>
  <si>
    <t>BUTYL DIGLYCOL</t>
  </si>
  <si>
    <t>ERM500030</t>
  </si>
  <si>
    <r>
      <rPr>
        <rFont val="Calibri"/>
        <sz val="11.0"/>
      </rPr>
      <t xml:space="preserve">SODIUM TRIPOLYPHOSPHATE - MEDIUM DENSITY - POLYPRAY </t>
    </r>
    <r>
      <rPr>
        <rFont val="Calibri"/>
        <color rgb="FFFF0000"/>
        <sz val="11.0"/>
      </rPr>
      <t>Liquid</t>
    </r>
  </si>
  <si>
    <t>ERM500030P</t>
  </si>
  <si>
    <r>
      <rPr>
        <rFont val="Calibri"/>
        <sz val="11.0"/>
      </rPr>
      <t xml:space="preserve">STPP HD/HT </t>
    </r>
    <r>
      <rPr>
        <rFont val="Calibri"/>
        <color rgb="FFFF0000"/>
        <sz val="11.0"/>
      </rPr>
      <t>POWDER</t>
    </r>
  </si>
  <si>
    <t>ERM500031</t>
  </si>
  <si>
    <t>LANKROPOL OPA</t>
  </si>
  <si>
    <t>ERM500033</t>
  </si>
  <si>
    <t>SODIUM CHLORIDE</t>
  </si>
  <si>
    <t>ERM500038</t>
  </si>
  <si>
    <t>SODIUM BENZOATE</t>
  </si>
  <si>
    <t>ERM500041</t>
  </si>
  <si>
    <t>WHITE MINERAL OIL - PARAFFINE OIL</t>
  </si>
  <si>
    <t>ERM500045</t>
  </si>
  <si>
    <t>SODIUM BICARBONATE</t>
  </si>
  <si>
    <t>ERM500046</t>
  </si>
  <si>
    <t>AMMONIUM BIFLUORID</t>
  </si>
  <si>
    <t>ERM500047</t>
  </si>
  <si>
    <t>HYDROCHLORIC ACID 30%</t>
  </si>
  <si>
    <t>ERM500048</t>
  </si>
  <si>
    <t>ETHYLENEGLYCOL</t>
  </si>
  <si>
    <t>ERM500050</t>
  </si>
  <si>
    <t>COPPER SULPHATE PENTAHYDRATE</t>
  </si>
  <si>
    <t>ERM500052</t>
  </si>
  <si>
    <t>SODIUM CARBONATE (DENSE)</t>
  </si>
  <si>
    <t>ERM500053</t>
  </si>
  <si>
    <t>SODIUM PERCARBONATE R-6</t>
  </si>
  <si>
    <t>ERM500057</t>
  </si>
  <si>
    <t>OXALIC ACID</t>
  </si>
  <si>
    <t>ERM500058</t>
  </si>
  <si>
    <t>ETHANOL 96%</t>
  </si>
  <si>
    <t>ERM500059</t>
  </si>
  <si>
    <t>PINK SPECKLES</t>
  </si>
  <si>
    <t>ERM00206</t>
  </si>
  <si>
    <t>Starch powder</t>
  </si>
  <si>
    <t>ERM00192</t>
  </si>
  <si>
    <t>ProtectolGA 50/ glutaralehyde 50%</t>
  </si>
  <si>
    <t>ERM00217</t>
  </si>
  <si>
    <t>Hamarol WC</t>
  </si>
  <si>
    <t>ERM500007</t>
  </si>
  <si>
    <t>Nitric Acid 55%</t>
  </si>
  <si>
    <t>Have</t>
  </si>
  <si>
    <t xml:space="preserve">Total </t>
  </si>
  <si>
    <t>Sub</t>
  </si>
  <si>
    <t>MONOTROP</t>
  </si>
  <si>
    <t>SILICONE LE 46</t>
  </si>
  <si>
    <t>ELTESOL SX40</t>
  </si>
  <si>
    <t>PER FLORAL FRESH</t>
  </si>
  <si>
    <t>IPA</t>
  </si>
  <si>
    <t xml:space="preserve">WHITE MINERAL OIL </t>
  </si>
  <si>
    <t>ProtectolGA 50</t>
  </si>
  <si>
    <t>Total  Need</t>
  </si>
  <si>
    <t>SOH</t>
  </si>
  <si>
    <t>No</t>
  </si>
  <si>
    <t>Batch</t>
  </si>
  <si>
    <t>Hold</t>
  </si>
  <si>
    <t xml:space="preserve">Can do </t>
  </si>
  <si>
    <t>Raw Material</t>
  </si>
  <si>
    <t>Grill</t>
  </si>
  <si>
    <t>Monotrop</t>
  </si>
  <si>
    <t>LUTENSOL TO8   /     Salicylic acid</t>
  </si>
  <si>
    <t>LUTENSOL TO8  /   IPA    / Per Floral Fresh</t>
  </si>
  <si>
    <t xml:space="preserve">S4 </t>
  </si>
  <si>
    <t>SODUM SILICATE NA5 (Have 96% )</t>
  </si>
  <si>
    <t xml:space="preserve">Magic light </t>
  </si>
  <si>
    <t>PERFUME AR 621591 ALDEHYDE OZONIC MULTI - (GC2465)</t>
  </si>
  <si>
    <t xml:space="preserve">cant do it </t>
  </si>
  <si>
    <t>Safe Actifos</t>
  </si>
  <si>
    <t>do part of it</t>
  </si>
  <si>
    <t>Touch Botanic Shampoo and Body 12x500 ml</t>
  </si>
  <si>
    <t>Touch Botanic Hand &amp; Face</t>
  </si>
  <si>
    <t>Touch lavander hand and face</t>
  </si>
  <si>
    <t xml:space="preserve">Touch lavender shampoo and body </t>
  </si>
  <si>
    <t>Care sani Gel</t>
  </si>
  <si>
    <r>
      <rPr>
        <rFont val="Calibri"/>
        <sz val="11.0"/>
      </rPr>
      <t>BEROL OX 91-8 / NEODOL91-</t>
    </r>
    <r>
      <rPr>
        <rFont val="Calibri"/>
        <color rgb="FFFF0000"/>
        <sz val="11.0"/>
      </rPr>
      <t>8</t>
    </r>
  </si>
  <si>
    <t>we have</t>
  </si>
  <si>
    <t>Total =</t>
  </si>
  <si>
    <t>Need =</t>
  </si>
  <si>
    <r>
      <rPr>
        <rFont val="Calibri"/>
        <sz val="11.0"/>
      </rPr>
      <t>SODIUM TRIPOLYPHOSPHATE -</t>
    </r>
    <r>
      <rPr>
        <rFont val="Calibri"/>
        <color rgb="FFFF0000"/>
        <sz val="11.0"/>
      </rPr>
      <t>LIQUID</t>
    </r>
    <r>
      <rPr>
        <rFont val="Calibri"/>
        <sz val="11.0"/>
      </rPr>
      <t xml:space="preserve"> STPP</t>
    </r>
  </si>
  <si>
    <r>
      <rPr>
        <rFont val="Calibri"/>
        <sz val="11.0"/>
      </rPr>
      <t xml:space="preserve">STPP HD/HT </t>
    </r>
    <r>
      <rPr>
        <rFont val="Calibri"/>
        <color rgb="FFFF0000"/>
        <sz val="11.0"/>
      </rPr>
      <t>POWDER</t>
    </r>
  </si>
  <si>
    <t>Timestamp</t>
  </si>
  <si>
    <t>Product</t>
  </si>
  <si>
    <t>Batches</t>
  </si>
  <si>
    <t>Operator Status</t>
  </si>
  <si>
    <t>Liquid</t>
  </si>
  <si>
    <t>Powder</t>
  </si>
  <si>
    <t>package</t>
  </si>
  <si>
    <t>Front Sticker</t>
  </si>
  <si>
    <t>Back Sticker</t>
  </si>
  <si>
    <t>Bottles</t>
  </si>
  <si>
    <t>20 Liter Clear</t>
  </si>
  <si>
    <t>20 Liter White</t>
  </si>
  <si>
    <t>20 Liter Blue</t>
  </si>
  <si>
    <t>4x5 Liter</t>
  </si>
  <si>
    <t>2x5 Liter</t>
  </si>
  <si>
    <t>1 Liter</t>
  </si>
  <si>
    <t>750 ML Flat</t>
  </si>
  <si>
    <t>750 ML Round</t>
  </si>
  <si>
    <t>500 ML</t>
  </si>
  <si>
    <t>330 ML</t>
  </si>
  <si>
    <t>250 ML</t>
  </si>
  <si>
    <t>75 ML</t>
  </si>
  <si>
    <t>20 KG</t>
  </si>
  <si>
    <t>10 KG</t>
  </si>
  <si>
    <t>3 KG</t>
  </si>
  <si>
    <t>Carton</t>
  </si>
  <si>
    <t>4x5 LTR</t>
  </si>
  <si>
    <t>2x5 LTR</t>
  </si>
  <si>
    <t>10 x 1 Liter</t>
  </si>
  <si>
    <t>6x750 Round</t>
  </si>
  <si>
    <t>6x750 ML Flat</t>
  </si>
  <si>
    <t>12x500 ML</t>
  </si>
  <si>
    <t>Capes</t>
  </si>
  <si>
    <t>White Cape</t>
  </si>
  <si>
    <t>Blue Cape</t>
  </si>
  <si>
    <t>Red Cape</t>
  </si>
  <si>
    <t>Small white cape</t>
  </si>
  <si>
    <t>Pump/Trigger</t>
  </si>
  <si>
    <t>White Pump</t>
  </si>
  <si>
    <t>Silver Pump</t>
  </si>
  <si>
    <t>Black Pump</t>
  </si>
  <si>
    <t>Trigger</t>
  </si>
  <si>
    <t xml:space="preserve"> </t>
  </si>
  <si>
    <t>Speed Hygenic 1 LITER</t>
  </si>
  <si>
    <t>Total Need=</t>
  </si>
  <si>
    <t>Actual NO =</t>
  </si>
  <si>
    <t>DAYS</t>
  </si>
  <si>
    <t>Need</t>
  </si>
  <si>
    <t>15-16/1</t>
  </si>
  <si>
    <t>18-19/1</t>
  </si>
  <si>
    <t>Needed</t>
  </si>
  <si>
    <t>Start</t>
  </si>
  <si>
    <t>Left OR Need</t>
  </si>
  <si>
    <t>back</t>
  </si>
  <si>
    <t>Back</t>
  </si>
  <si>
    <t>Care Alco Gel 5 Liter</t>
  </si>
  <si>
    <t>Care Alcodis 1 Liter</t>
  </si>
  <si>
    <t>Care sani Gel 5 Liter</t>
  </si>
  <si>
    <t>Speed Hygenic 1 Liter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</si>
</sst>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/>
    <font>
      <sz val="12.0"/>
      <name val="Calibri"/>
    </font>
    <font>
      <sz val="10.0"/>
      <name val="Calibri"/>
    </font>
    <font>
      <sz val="11.0"/>
      <color rgb="FF000000"/>
      <name val="Calibri"/>
    </font>
    <font>
      <sz val="9.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</fills>
  <borders count="42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4" fontId="3" numFmtId="0" xfId="0" applyAlignment="1" applyBorder="1" applyFill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7" fontId="1" numFmtId="0" xfId="0" applyBorder="1" applyFill="1" applyFont="1"/>
    <xf borderId="0" fillId="0" fontId="1" numFmtId="0" xfId="0" applyFont="1"/>
    <xf borderId="10" fillId="0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vertical="center"/>
    </xf>
    <xf borderId="10" fillId="6" fontId="3" numFmtId="0" xfId="0" applyAlignment="1" applyBorder="1" applyFont="1">
      <alignment horizontal="center" vertical="center"/>
    </xf>
    <xf borderId="10" fillId="6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0" fontId="1" numFmtId="0" xfId="0" applyBorder="1" applyFont="1"/>
    <xf borderId="13" fillId="8" fontId="1" numFmtId="0" xfId="0" applyAlignment="1" applyBorder="1" applyFill="1" applyFont="1">
      <alignment horizontal="left" vertical="center"/>
    </xf>
    <xf borderId="14" fillId="8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vertical="center"/>
    </xf>
    <xf borderId="14" fillId="7" fontId="1" numFmtId="0" xfId="0" applyBorder="1" applyFont="1"/>
    <xf borderId="10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vertical="center"/>
    </xf>
    <xf borderId="10" fillId="8" fontId="1" numFmtId="0" xfId="0" applyAlignment="1" applyBorder="1" applyFont="1">
      <alignment horizontal="left" vertical="center"/>
    </xf>
    <xf borderId="11" fillId="8" fontId="1" numFmtId="0" xfId="0" applyAlignment="1" applyBorder="1" applyFont="1">
      <alignment horizontal="left" vertical="center"/>
    </xf>
    <xf borderId="11" fillId="8" fontId="1" numFmtId="0" xfId="0" applyAlignment="1" applyBorder="1" applyFont="1">
      <alignment horizontal="left" shrinkToFit="0" vertical="top" wrapText="1"/>
    </xf>
    <xf borderId="16" fillId="0" fontId="1" numFmtId="0" xfId="0" applyBorder="1" applyFont="1"/>
    <xf borderId="0" fillId="0" fontId="1" numFmtId="0" xfId="0" applyAlignment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1" fillId="2" fontId="3" numFmtId="0" xfId="0" applyAlignment="1" applyBorder="1" applyFont="1">
      <alignment horizontal="center" shrinkToFit="0" vertical="center" wrapText="1"/>
    </xf>
    <xf borderId="10" fillId="9" fontId="1" numFmtId="0" xfId="0" applyAlignment="1" applyBorder="1" applyFill="1" applyFont="1">
      <alignment horizontal="center"/>
    </xf>
    <xf borderId="10" fillId="8" fontId="1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0" fillId="10" fontId="1" numFmtId="0" xfId="0" applyAlignment="1" applyBorder="1" applyFill="1" applyFont="1">
      <alignment horizontal="center"/>
    </xf>
    <xf borderId="10" fillId="0" fontId="1" numFmtId="0" xfId="0" applyBorder="1" applyFont="1"/>
    <xf borderId="10" fillId="8" fontId="4" numFmtId="0" xfId="0" applyAlignment="1" applyBorder="1" applyFont="1">
      <alignment horizontal="left" shrinkToFit="0" vertical="top" wrapText="1"/>
    </xf>
    <xf borderId="10" fillId="8" fontId="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top" wrapText="1"/>
    </xf>
    <xf borderId="11" fillId="5" fontId="3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19" fillId="0" fontId="5" numFmtId="0" xfId="0" applyAlignment="1" applyBorder="1" applyFont="1">
      <alignment horizontal="center" vertical="center"/>
    </xf>
    <xf borderId="17" fillId="11" fontId="5" numFmtId="0" xfId="0" applyAlignment="1" applyBorder="1" applyFill="1" applyFont="1">
      <alignment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17" fillId="12" fontId="5" numFmtId="0" xfId="0" applyAlignment="1" applyBorder="1" applyFill="1" applyFont="1">
      <alignment vertical="center"/>
    </xf>
    <xf borderId="22" fillId="9" fontId="1" numFmtId="0" xfId="0" applyAlignment="1" applyBorder="1" applyFont="1">
      <alignment vertical="center"/>
    </xf>
    <xf borderId="23" fillId="9" fontId="1" numFmtId="0" xfId="0" applyAlignment="1" applyBorder="1" applyFont="1">
      <alignment vertical="center"/>
    </xf>
    <xf borderId="23" fillId="9" fontId="1" numFmtId="0" xfId="0" applyAlignment="1" applyBorder="1" applyFont="1">
      <alignment horizontal="center" vertical="center"/>
    </xf>
    <xf borderId="22" fillId="11" fontId="5" numFmtId="0" xfId="0" applyAlignment="1" applyBorder="1" applyFont="1">
      <alignment vertical="center"/>
    </xf>
    <xf borderId="23" fillId="11" fontId="5" numFmtId="0" xfId="0" applyAlignment="1" applyBorder="1" applyFont="1">
      <alignment vertical="center"/>
    </xf>
    <xf borderId="23" fillId="11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24" fillId="2" fontId="1" numFmtId="0" xfId="0" applyAlignment="1" applyBorder="1" applyFont="1">
      <alignment horizontal="center"/>
    </xf>
    <xf borderId="25" fillId="0" fontId="2" numFmtId="0" xfId="0" applyBorder="1" applyFont="1"/>
    <xf borderId="17" fillId="2" fontId="1" numFmtId="0" xfId="0" applyAlignment="1" applyBorder="1" applyFont="1">
      <alignment horizontal="center"/>
    </xf>
    <xf borderId="26" fillId="4" fontId="1" numFmtId="0" xfId="0" applyAlignment="1" applyBorder="1" applyFont="1">
      <alignment horizontal="center"/>
    </xf>
    <xf borderId="17" fillId="4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27" fillId="3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/>
    </xf>
    <xf borderId="10" fillId="10" fontId="1" numFmtId="0" xfId="0" applyBorder="1" applyFont="1"/>
    <xf borderId="28" fillId="0" fontId="1" numFmtId="0" xfId="0" applyAlignment="1" applyBorder="1" applyFont="1">
      <alignment horizontal="center"/>
    </xf>
    <xf borderId="29" fillId="1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17" fillId="1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12" fillId="1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10" fillId="0" fontId="3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/>
    </xf>
    <xf borderId="11" fillId="6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3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0" fontId="1" numFmtId="16" xfId="0" applyAlignment="1" applyFont="1" applyNumberFormat="1">
      <alignment horizontal="center"/>
    </xf>
    <xf borderId="4" fillId="10" fontId="1" numFmtId="0" xfId="0" applyAlignment="1" applyBorder="1" applyFont="1">
      <alignment horizontal="center"/>
    </xf>
    <xf borderId="37" fillId="10" fontId="1" numFmtId="0" xfId="0" applyAlignment="1" applyBorder="1" applyFont="1">
      <alignment horizontal="center"/>
    </xf>
    <xf borderId="37" fillId="10" fontId="1" numFmtId="0" xfId="0" applyBorder="1" applyFont="1"/>
    <xf borderId="35" fillId="0" fontId="1" numFmtId="0" xfId="0" applyBorder="1" applyFont="1"/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17" fillId="10" fontId="1" numFmtId="0" xfId="0" applyBorder="1" applyFont="1"/>
    <xf borderId="17" fillId="13" fontId="1" numFmtId="16" xfId="0" applyBorder="1" applyFill="1" applyFont="1" applyNumberFormat="1"/>
    <xf borderId="17" fillId="2" fontId="1" numFmtId="16" xfId="0" applyBorder="1" applyFont="1" applyNumberFormat="1"/>
    <xf borderId="17" fillId="3" fontId="1" numFmtId="16" xfId="0" applyBorder="1" applyFont="1" applyNumberFormat="1"/>
    <xf borderId="17" fillId="4" fontId="1" numFmtId="16" xfId="0" applyBorder="1" applyFont="1" applyNumberFormat="1"/>
    <xf borderId="27" fillId="14" fontId="1" numFmtId="16" xfId="0" applyBorder="1" applyFill="1" applyFont="1" applyNumberFormat="1"/>
    <xf borderId="40" fillId="14" fontId="1" numFmtId="0" xfId="0" applyBorder="1" applyFont="1"/>
    <xf borderId="27" fillId="2" fontId="1" numFmtId="16" xfId="0" applyBorder="1" applyFont="1" applyNumberFormat="1"/>
    <xf borderId="40" fillId="2" fontId="1" numFmtId="0" xfId="0" applyBorder="1" applyFont="1"/>
    <xf borderId="17" fillId="8" fontId="1" numFmtId="16" xfId="0" applyBorder="1" applyFont="1" applyNumberFormat="1"/>
    <xf borderId="17" fillId="6" fontId="1" numFmtId="16" xfId="0" applyBorder="1" applyFont="1" applyNumberFormat="1"/>
    <xf borderId="27" fillId="2" fontId="1" numFmtId="0" xfId="0" applyBorder="1" applyFont="1"/>
    <xf borderId="17" fillId="13" fontId="1" numFmtId="0" xfId="0" applyBorder="1" applyFont="1"/>
    <xf borderId="17" fillId="2" fontId="1" numFmtId="0" xfId="0" applyBorder="1" applyFont="1"/>
    <xf borderId="17" fillId="3" fontId="1" numFmtId="0" xfId="0" applyBorder="1" applyFont="1"/>
    <xf borderId="17" fillId="4" fontId="1" numFmtId="0" xfId="0" applyBorder="1" applyFont="1"/>
    <xf borderId="29" fillId="14" fontId="1" numFmtId="0" xfId="0" applyBorder="1" applyFont="1"/>
    <xf borderId="41" fillId="14" fontId="1" numFmtId="0" xfId="0" applyBorder="1" applyFont="1"/>
    <xf borderId="29" fillId="2" fontId="1" numFmtId="0" xfId="0" applyBorder="1" applyFont="1"/>
    <xf borderId="41" fillId="2" fontId="1" numFmtId="0" xfId="0" applyBorder="1" applyFont="1"/>
    <xf borderId="17" fillId="8" fontId="1" numFmtId="0" xfId="0" applyBorder="1" applyFont="1"/>
    <xf borderId="17" fillId="6" fontId="1" numFmtId="0" xfId="0" applyBorder="1" applyFont="1"/>
    <xf borderId="10" fillId="4" fontId="1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3.33"/>
    <col customWidth="1" min="2" max="2" width="73.56"/>
    <col customWidth="1" min="3" max="3" width="13.0"/>
    <col customWidth="1" min="4" max="4" width="12.67"/>
    <col customWidth="1" min="5" max="5" width="13.0"/>
    <col customWidth="1" min="6" max="6" width="15.11"/>
    <col customWidth="1" min="7" max="8" width="13.0"/>
    <col customWidth="1" min="9" max="9" width="12.33"/>
    <col customWidth="1" min="10" max="11" width="13.33"/>
    <col customWidth="1" min="12" max="12" width="13.67"/>
    <col customWidth="1" min="13" max="13" width="12.89"/>
    <col customWidth="1" min="14" max="14" width="12.44"/>
    <col customWidth="1" min="15" max="15" width="13.0"/>
    <col customWidth="1" min="16" max="16" width="16.67"/>
    <col customWidth="1" min="17" max="17" width="13.33"/>
    <col customWidth="1" min="18" max="18" width="13.0"/>
    <col customWidth="1" min="19" max="19" width="11.33"/>
    <col customWidth="1" min="20" max="20" width="13.0"/>
    <col customWidth="1" min="21" max="23" width="11.0"/>
    <col customWidth="1" min="24" max="24" width="12.11"/>
    <col customWidth="1" min="25" max="25" width="11.0"/>
    <col customWidth="1" min="26" max="26" width="13.67"/>
    <col customWidth="1" min="27" max="27" width="14.56"/>
    <col customWidth="1" min="28" max="29" width="11.0"/>
    <col customWidth="1" min="30" max="30" width="12.33"/>
    <col customWidth="1" min="31" max="31" width="11.33"/>
    <col customWidth="1" min="32" max="35" width="13.0"/>
    <col customWidth="1" min="36" max="36" width="13.67"/>
    <col customWidth="1" min="37" max="37" width="16.33"/>
    <col customWidth="1" min="38" max="38" width="15.44"/>
    <col customWidth="1" min="39" max="39" width="13.0"/>
    <col customWidth="1" min="40" max="40" width="16.89"/>
    <col customWidth="1" min="41" max="41" width="16.33"/>
    <col customWidth="1" min="42" max="42" width="13.33"/>
    <col customWidth="1" min="43" max="43" width="13.0"/>
    <col customWidth="1" min="44" max="44" width="11.89"/>
    <col customWidth="1" min="45" max="45" width="11.0"/>
    <col customWidth="1" min="46" max="46" width="13.0"/>
    <col customWidth="1" min="47" max="47" width="16.33"/>
    <col customWidth="1" min="48" max="48" width="14.67"/>
    <col customWidth="1" min="49" max="49" width="30.0"/>
    <col customWidth="1" min="50" max="50" width="27.89"/>
    <col customWidth="1" min="51" max="51" width="15.11"/>
    <col customWidth="1" min="52" max="52" width="14.33"/>
    <col customWidth="1" min="53" max="53" width="12.89"/>
    <col customWidth="1" min="54" max="54" width="13.33"/>
    <col customWidth="1" min="55" max="55" width="15.67"/>
    <col customWidth="1" min="56" max="56" width="13.33"/>
    <col customWidth="1" min="57" max="57" width="16.11"/>
    <col customWidth="1" min="58" max="58" width="20.0"/>
    <col customWidth="1" min="59" max="59" width="12.67"/>
    <col customWidth="1" min="60" max="60" width="16.67"/>
    <col customWidth="1" min="61" max="61" width="14.89"/>
    <col customWidth="1" min="62" max="67" width="13.33"/>
    <col customWidth="1" min="68" max="68" width="15.33"/>
    <col customWidth="1" min="69" max="75" width="13.33"/>
    <col customWidth="1" min="76" max="76" width="13.89"/>
    <col customWidth="1" min="77" max="77" width="11.67"/>
    <col customWidth="1" min="78" max="78" width="10.0"/>
    <col customWidth="1" min="79" max="79" width="9.33"/>
    <col customWidth="1" min="80" max="80" width="10.56"/>
    <col customWidth="1" min="81" max="81" width="14.67"/>
    <col customWidth="1" min="82" max="82" width="9.11"/>
    <col customWidth="1" min="83" max="83" width="9.44"/>
    <col customWidth="1" min="84" max="84" width="11.44"/>
    <col customWidth="1" min="85" max="86" width="13.56"/>
    <col customWidth="1" min="87" max="88" width="13.0"/>
    <col customWidth="1" min="89" max="92" width="9.11"/>
    <col customWidth="1" min="93" max="109" width="8.89"/>
  </cols>
  <sheetData>
    <row r="1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7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6"/>
      <c r="BI1" s="8"/>
      <c r="BJ1" s="2"/>
      <c r="BK1" s="3"/>
      <c r="BL1" s="9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6"/>
      <c r="BY1" s="10"/>
      <c r="BZ1" s="5"/>
      <c r="CA1" s="5"/>
      <c r="CB1" s="5"/>
      <c r="CC1" s="5"/>
      <c r="CD1" s="5"/>
      <c r="CE1" s="5"/>
      <c r="CF1" s="6"/>
      <c r="CG1" s="4"/>
      <c r="CH1" s="5"/>
      <c r="CI1" s="6"/>
      <c r="CJ1" s="11"/>
      <c r="CK1" s="12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</row>
    <row r="2" ht="30.0" customHeight="1">
      <c r="A2" s="14"/>
      <c r="B2" s="14"/>
      <c r="C2" s="15" t="s">
        <v>0</v>
      </c>
      <c r="D2" s="16" t="s">
        <v>1</v>
      </c>
      <c r="E2" s="15" t="s">
        <v>2</v>
      </c>
      <c r="F2" s="16" t="s">
        <v>3</v>
      </c>
      <c r="G2" s="15" t="s">
        <v>4</v>
      </c>
      <c r="H2" s="15" t="s">
        <v>5</v>
      </c>
      <c r="I2" s="15" t="s">
        <v>6</v>
      </c>
      <c r="J2" s="15" t="s">
        <v>7</v>
      </c>
      <c r="K2" s="15" t="s">
        <v>8</v>
      </c>
      <c r="L2" s="16" t="s">
        <v>9</v>
      </c>
      <c r="M2" s="16" t="s">
        <v>10</v>
      </c>
      <c r="N2" s="16" t="s">
        <v>11</v>
      </c>
      <c r="O2" s="15" t="s">
        <v>12</v>
      </c>
      <c r="P2" s="15" t="s">
        <v>13</v>
      </c>
      <c r="Q2" s="15" t="s">
        <v>14</v>
      </c>
      <c r="R2" s="15" t="s">
        <v>15</v>
      </c>
      <c r="S2" s="15" t="s">
        <v>16</v>
      </c>
      <c r="T2" s="15" t="s">
        <v>17</v>
      </c>
      <c r="U2" s="15" t="s">
        <v>18</v>
      </c>
      <c r="V2" s="15" t="s">
        <v>19</v>
      </c>
      <c r="W2" s="17" t="s">
        <v>20</v>
      </c>
      <c r="X2" s="17" t="s">
        <v>21</v>
      </c>
      <c r="Y2" s="17" t="s">
        <v>22</v>
      </c>
      <c r="Z2" s="18" t="s">
        <v>23</v>
      </c>
      <c r="AA2" s="17" t="s">
        <v>24</v>
      </c>
      <c r="AB2" s="17" t="s">
        <v>25</v>
      </c>
      <c r="AC2" s="17" t="s">
        <v>26</v>
      </c>
      <c r="AD2" s="17" t="s">
        <v>27</v>
      </c>
      <c r="AE2" s="18" t="s">
        <v>28</v>
      </c>
      <c r="AF2" s="18" t="s">
        <v>29</v>
      </c>
      <c r="AG2" s="19" t="s">
        <v>30</v>
      </c>
      <c r="AH2" s="18" t="s">
        <v>31</v>
      </c>
      <c r="AI2" s="20" t="s">
        <v>32</v>
      </c>
      <c r="AJ2" s="21" t="s">
        <v>33</v>
      </c>
      <c r="AK2" s="18" t="s">
        <v>34</v>
      </c>
      <c r="AL2" s="18" t="s">
        <v>35</v>
      </c>
      <c r="AM2" s="18" t="s">
        <v>36</v>
      </c>
      <c r="AN2" s="18" t="s">
        <v>37</v>
      </c>
      <c r="AO2" s="18" t="s">
        <v>38</v>
      </c>
      <c r="AP2" s="17" t="s">
        <v>39</v>
      </c>
      <c r="AQ2" s="18" t="s">
        <v>40</v>
      </c>
      <c r="AR2" s="17" t="s">
        <v>41</v>
      </c>
      <c r="AS2" s="17" t="s">
        <v>42</v>
      </c>
      <c r="AT2" s="18" t="s">
        <v>43</v>
      </c>
      <c r="AU2" s="22" t="s">
        <v>44</v>
      </c>
      <c r="AV2" s="22" t="s">
        <v>45</v>
      </c>
      <c r="AW2" s="23" t="s">
        <v>46</v>
      </c>
      <c r="AX2" s="23" t="s">
        <v>47</v>
      </c>
      <c r="AY2" s="23" t="s">
        <v>48</v>
      </c>
      <c r="AZ2" s="22" t="s">
        <v>49</v>
      </c>
      <c r="BA2" s="22" t="s">
        <v>50</v>
      </c>
      <c r="BB2" s="23" t="s">
        <v>51</v>
      </c>
      <c r="BC2" s="22" t="s">
        <v>52</v>
      </c>
      <c r="BD2" s="23" t="s">
        <v>53</v>
      </c>
      <c r="BE2" s="23" t="s">
        <v>54</v>
      </c>
      <c r="BF2" s="23" t="s">
        <v>55</v>
      </c>
      <c r="BG2" s="22" t="s">
        <v>56</v>
      </c>
      <c r="BH2" s="22" t="s">
        <v>57</v>
      </c>
      <c r="BI2" s="16" t="s">
        <v>58</v>
      </c>
      <c r="BJ2" s="15" t="s">
        <v>59</v>
      </c>
      <c r="BK2" s="15" t="s">
        <v>60</v>
      </c>
      <c r="BL2" s="24" t="s">
        <v>61</v>
      </c>
      <c r="BM2" s="24" t="s">
        <v>62</v>
      </c>
      <c r="BN2" s="24" t="s">
        <v>63</v>
      </c>
      <c r="BO2" s="24" t="s">
        <v>64</v>
      </c>
      <c r="BP2" s="25" t="s">
        <v>65</v>
      </c>
      <c r="BQ2" s="24" t="s">
        <v>66</v>
      </c>
      <c r="BR2" s="24" t="s">
        <v>67</v>
      </c>
      <c r="BS2" s="24" t="s">
        <v>68</v>
      </c>
      <c r="BT2" s="24" t="s">
        <v>69</v>
      </c>
      <c r="BU2" s="24" t="s">
        <v>70</v>
      </c>
      <c r="BV2" s="24" t="s">
        <v>71</v>
      </c>
      <c r="BW2" s="24" t="s">
        <v>72</v>
      </c>
      <c r="BX2" s="24" t="s">
        <v>73</v>
      </c>
      <c r="BY2" s="26" t="s">
        <v>74</v>
      </c>
      <c r="BZ2" s="26" t="s">
        <v>75</v>
      </c>
      <c r="CA2" s="27" t="s">
        <v>76</v>
      </c>
      <c r="CB2" s="27" t="s">
        <v>77</v>
      </c>
      <c r="CC2" s="26" t="s">
        <v>78</v>
      </c>
      <c r="CD2" s="26" t="s">
        <v>79</v>
      </c>
      <c r="CE2" s="26" t="s">
        <v>80</v>
      </c>
      <c r="CF2" s="26" t="s">
        <v>81</v>
      </c>
      <c r="CG2" s="28" t="s">
        <v>82</v>
      </c>
      <c r="CH2" s="28" t="s">
        <v>83</v>
      </c>
      <c r="CI2" s="28" t="s">
        <v>84</v>
      </c>
      <c r="CJ2" s="28" t="s">
        <v>85</v>
      </c>
      <c r="CK2" s="29" t="s">
        <v>86</v>
      </c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</row>
    <row r="3">
      <c r="A3" s="31" t="s">
        <v>87</v>
      </c>
      <c r="B3" s="31" t="s">
        <v>88</v>
      </c>
      <c r="C3" s="32">
        <v>0.0</v>
      </c>
      <c r="D3" s="32">
        <v>3.0</v>
      </c>
      <c r="E3" s="32">
        <v>5.0</v>
      </c>
      <c r="F3" s="32">
        <v>2.0</v>
      </c>
      <c r="G3" s="32">
        <v>1.0</v>
      </c>
      <c r="H3" s="32">
        <v>1.0</v>
      </c>
      <c r="I3" s="32">
        <v>4.0</v>
      </c>
      <c r="J3" s="32"/>
      <c r="K3" s="32">
        <v>0.5</v>
      </c>
      <c r="L3" s="32">
        <v>1.0</v>
      </c>
      <c r="M3" s="32">
        <v>3.0</v>
      </c>
      <c r="N3" s="32">
        <v>1.0</v>
      </c>
      <c r="O3" s="32"/>
      <c r="P3" s="32">
        <v>1.0</v>
      </c>
      <c r="Q3" s="32"/>
      <c r="R3" s="32"/>
      <c r="S3" s="32"/>
      <c r="T3" s="32"/>
      <c r="U3" s="32"/>
      <c r="V3" s="32">
        <v>1.0</v>
      </c>
      <c r="W3" s="32"/>
      <c r="X3" s="32">
        <v>1.0</v>
      </c>
      <c r="Y3" s="32"/>
      <c r="Z3" s="32"/>
      <c r="AA3" s="32">
        <v>2.0</v>
      </c>
      <c r="AB3" s="32">
        <v>0.0</v>
      </c>
      <c r="AC3" s="32"/>
      <c r="AD3" s="32">
        <v>3.0</v>
      </c>
      <c r="AE3" s="32">
        <v>1.0</v>
      </c>
      <c r="AF3" s="32"/>
      <c r="AG3" s="33">
        <v>1.0</v>
      </c>
      <c r="AH3" s="32"/>
      <c r="AI3" s="32">
        <v>1.0</v>
      </c>
      <c r="AJ3" s="34">
        <v>1.0</v>
      </c>
      <c r="AK3" s="32"/>
      <c r="AL3" s="32"/>
      <c r="AM3" s="32"/>
      <c r="AN3" s="32">
        <v>1.0</v>
      </c>
      <c r="AO3" s="32"/>
      <c r="AP3" s="32"/>
      <c r="AQ3" s="32"/>
      <c r="AR3" s="32"/>
      <c r="AS3" s="32"/>
      <c r="AT3" s="32"/>
      <c r="AU3" s="32">
        <v>1.0</v>
      </c>
      <c r="AV3" s="32"/>
      <c r="AW3" s="32"/>
      <c r="AX3" s="32"/>
      <c r="AY3" s="32">
        <v>0.5</v>
      </c>
      <c r="AZ3" s="32">
        <v>1.0</v>
      </c>
      <c r="BA3" s="32"/>
      <c r="BB3" s="32"/>
      <c r="BC3" s="32"/>
      <c r="BD3" s="32"/>
      <c r="BE3" s="32"/>
      <c r="BF3" s="32"/>
      <c r="BG3" s="32"/>
      <c r="BH3" s="32"/>
      <c r="BI3" s="32"/>
      <c r="BJ3" s="32">
        <v>1.0</v>
      </c>
      <c r="BK3" s="32"/>
      <c r="BL3" s="32"/>
      <c r="BM3" s="32"/>
      <c r="BN3" s="32"/>
      <c r="BO3" s="32"/>
      <c r="BP3" s="32">
        <v>0.5</v>
      </c>
      <c r="BQ3" s="32"/>
      <c r="BR3" s="32">
        <v>0.5</v>
      </c>
      <c r="BS3" s="32">
        <v>0.5</v>
      </c>
      <c r="BT3" s="32"/>
      <c r="BU3" s="32">
        <v>0.5</v>
      </c>
      <c r="BV3" s="32">
        <v>1.0</v>
      </c>
      <c r="BW3" s="32"/>
      <c r="BX3" s="32">
        <v>2.0</v>
      </c>
      <c r="BY3" s="32">
        <v>0.5</v>
      </c>
      <c r="BZ3" s="32"/>
      <c r="CA3" s="32">
        <v>1.0</v>
      </c>
      <c r="CB3" s="32">
        <v>1.0</v>
      </c>
      <c r="CC3" s="32"/>
      <c r="CD3" s="32"/>
      <c r="CE3" s="32"/>
      <c r="CF3" s="32"/>
      <c r="CG3" s="33">
        <v>1.0</v>
      </c>
      <c r="CH3" s="32">
        <v>3.0</v>
      </c>
      <c r="CI3" s="32"/>
      <c r="CJ3" s="33">
        <v>0.12</v>
      </c>
      <c r="CK3" s="35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</row>
    <row r="4">
      <c r="A4" s="36" t="s">
        <v>89</v>
      </c>
      <c r="B4" s="37" t="s">
        <v>90</v>
      </c>
      <c r="C4" s="38"/>
      <c r="D4" s="39" t="str">
        <f>0.02*D3</f>
        <v>0.06</v>
      </c>
      <c r="E4" s="38"/>
      <c r="F4" s="39"/>
      <c r="G4" s="38"/>
      <c r="H4" s="38"/>
      <c r="I4" s="39"/>
      <c r="J4" s="38"/>
      <c r="K4" s="38"/>
      <c r="L4" s="39"/>
      <c r="M4" s="39"/>
      <c r="N4" s="39"/>
      <c r="O4" s="38"/>
      <c r="P4" s="38"/>
      <c r="Q4" s="38" t="str">
        <f>Q3*0.005</f>
        <v>0</v>
      </c>
      <c r="R4" s="38"/>
      <c r="S4" s="39"/>
      <c r="T4" s="38"/>
      <c r="U4" s="39"/>
      <c r="V4" s="39"/>
      <c r="W4" s="40"/>
      <c r="X4" s="40"/>
      <c r="Y4" s="40"/>
      <c r="Z4" s="41"/>
      <c r="AA4" s="40"/>
      <c r="AB4" s="40"/>
      <c r="AC4" s="40"/>
      <c r="AD4" s="40"/>
      <c r="AE4" s="40"/>
      <c r="AF4" s="41"/>
      <c r="AG4" s="41"/>
      <c r="AH4" s="42"/>
      <c r="AI4" s="20"/>
      <c r="AJ4" s="43"/>
      <c r="AK4" s="40"/>
      <c r="AL4" s="40"/>
      <c r="AM4" s="41"/>
      <c r="AN4" s="40"/>
      <c r="AO4" s="40"/>
      <c r="AP4" s="40"/>
      <c r="AQ4" s="40"/>
      <c r="AR4" s="40"/>
      <c r="AS4" s="40"/>
      <c r="AT4" s="41"/>
      <c r="AU4" s="44"/>
      <c r="AV4" s="44"/>
      <c r="AW4" s="44"/>
      <c r="AX4" s="44"/>
      <c r="AY4" s="44" t="str">
        <f>AY3*0.0015</f>
        <v>0.00075</v>
      </c>
      <c r="AZ4" s="44"/>
      <c r="BA4" s="44" t="str">
        <f>BA3*0.004</f>
        <v>0</v>
      </c>
      <c r="BB4" s="45"/>
      <c r="BC4" s="44"/>
      <c r="BD4" s="45"/>
      <c r="BE4" s="44"/>
      <c r="BF4" s="44"/>
      <c r="BG4" s="44" t="str">
        <f>BG3*0.004</f>
        <v>0</v>
      </c>
      <c r="BH4" s="44"/>
      <c r="BI4" s="39"/>
      <c r="BJ4" s="38"/>
      <c r="BK4" s="38"/>
      <c r="BL4" s="46"/>
      <c r="BM4" s="46"/>
      <c r="BN4" s="46"/>
      <c r="BO4" s="46"/>
      <c r="BP4" s="47" t="str">
        <f>0.0036*BP3</f>
        <v>0.0018</v>
      </c>
      <c r="BQ4" s="46" t="str">
        <f>BQ3*0.0144</f>
        <v>0</v>
      </c>
      <c r="BR4" s="46"/>
      <c r="BS4" s="46"/>
      <c r="BT4" s="46"/>
      <c r="BU4" s="46"/>
      <c r="BV4" s="46"/>
      <c r="BW4" s="46"/>
      <c r="BX4" s="47" t="str">
        <f>0.018*BX3</f>
        <v>0.036</v>
      </c>
      <c r="BY4" s="48"/>
      <c r="BZ4" s="48"/>
      <c r="CA4" s="48"/>
      <c r="CB4" s="48"/>
      <c r="CC4" s="48"/>
      <c r="CD4" s="48"/>
      <c r="CE4" s="48"/>
      <c r="CF4" s="48"/>
      <c r="CG4" s="41"/>
      <c r="CH4" s="41"/>
      <c r="CI4" s="28"/>
      <c r="CJ4" s="49"/>
      <c r="CK4" s="50" t="str">
        <f t="shared" ref="CK4:CK153" si="1">SUM(C4:CJ4)</f>
        <v>0.09855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</row>
    <row r="5">
      <c r="A5" s="51" t="s">
        <v>91</v>
      </c>
      <c r="B5" s="52" t="s">
        <v>92</v>
      </c>
      <c r="C5" s="53"/>
      <c r="D5" s="54"/>
      <c r="E5" s="53"/>
      <c r="F5" s="54"/>
      <c r="G5" s="53"/>
      <c r="H5" s="53"/>
      <c r="I5" s="54"/>
      <c r="J5" s="53" t="str">
        <f>J3*20</f>
        <v>0</v>
      </c>
      <c r="K5" s="53"/>
      <c r="L5" s="54"/>
      <c r="M5" s="54"/>
      <c r="N5" s="54"/>
      <c r="O5" s="53"/>
      <c r="P5" s="53"/>
      <c r="Q5" s="53"/>
      <c r="R5" s="53"/>
      <c r="S5" s="54"/>
      <c r="T5" s="53"/>
      <c r="U5" s="54"/>
      <c r="V5" s="54"/>
      <c r="W5" s="42"/>
      <c r="X5" s="42"/>
      <c r="Y5" s="42" t="str">
        <f>Y3*525</f>
        <v>0</v>
      </c>
      <c r="Z5" s="55" t="str">
        <f>Z3*202.5</f>
        <v>0</v>
      </c>
      <c r="AA5" s="42"/>
      <c r="AB5" s="42"/>
      <c r="AC5" s="42"/>
      <c r="AD5" s="42"/>
      <c r="AE5" s="42"/>
      <c r="AF5" s="55"/>
      <c r="AG5" s="55"/>
      <c r="AH5" s="42"/>
      <c r="AI5" s="20"/>
      <c r="AJ5" s="56" t="str">
        <f>640*AJ3</f>
        <v>640</v>
      </c>
      <c r="AK5" s="42"/>
      <c r="AL5" s="42"/>
      <c r="AM5" s="55"/>
      <c r="AN5" s="42"/>
      <c r="AO5" s="42"/>
      <c r="AP5" s="42" t="str">
        <f>AP3*47.1</f>
        <v>0</v>
      </c>
      <c r="AQ5" s="42"/>
      <c r="AR5" s="42"/>
      <c r="AS5" s="42"/>
      <c r="AT5" s="55"/>
      <c r="AU5" s="57"/>
      <c r="AV5" s="57"/>
      <c r="AW5" s="57"/>
      <c r="AX5" s="57"/>
      <c r="AY5" s="57"/>
      <c r="AZ5" s="57"/>
      <c r="BA5" s="57"/>
      <c r="BB5" s="58"/>
      <c r="BC5" s="57"/>
      <c r="BD5" s="58"/>
      <c r="BE5" s="57"/>
      <c r="BF5" s="57"/>
      <c r="BG5" s="57"/>
      <c r="BH5" s="57"/>
      <c r="BI5" s="54"/>
      <c r="BJ5" s="53"/>
      <c r="BK5" s="53"/>
      <c r="BL5" s="59"/>
      <c r="BM5" s="59"/>
      <c r="BN5" s="59"/>
      <c r="BO5" s="59"/>
      <c r="BP5" s="60"/>
      <c r="BQ5" s="59"/>
      <c r="BR5" s="59" t="str">
        <f>BR3*20</f>
        <v>10</v>
      </c>
      <c r="BS5" s="59"/>
      <c r="BT5" s="59"/>
      <c r="BU5" s="59"/>
      <c r="BV5" s="59"/>
      <c r="BW5" s="59"/>
      <c r="BX5" s="60"/>
      <c r="BY5" s="61"/>
      <c r="BZ5" s="61"/>
      <c r="CA5" s="61"/>
      <c r="CB5" s="61"/>
      <c r="CC5" s="61"/>
      <c r="CD5" s="61"/>
      <c r="CE5" s="61" t="str">
        <f>CE3*17</f>
        <v>0</v>
      </c>
      <c r="CF5" s="61"/>
      <c r="CG5" s="55"/>
      <c r="CH5" s="55"/>
      <c r="CI5" s="28"/>
      <c r="CJ5" s="49"/>
      <c r="CK5" s="50" t="str">
        <f t="shared" si="1"/>
        <v>650</v>
      </c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>
      <c r="A6" s="62" t="s">
        <v>93</v>
      </c>
      <c r="B6" s="63" t="s">
        <v>94</v>
      </c>
      <c r="C6" s="53"/>
      <c r="D6" s="54"/>
      <c r="E6" s="53"/>
      <c r="F6" s="54"/>
      <c r="G6" s="53"/>
      <c r="H6" s="53"/>
      <c r="I6" s="54"/>
      <c r="J6" s="53"/>
      <c r="K6" s="53"/>
      <c r="L6" s="54"/>
      <c r="M6" s="54"/>
      <c r="N6" s="54"/>
      <c r="O6" s="53"/>
      <c r="P6" s="53" t="str">
        <f>P3*0.06</f>
        <v>0.06</v>
      </c>
      <c r="Q6" s="53"/>
      <c r="R6" s="53"/>
      <c r="S6" s="54"/>
      <c r="T6" s="53"/>
      <c r="U6" s="54"/>
      <c r="V6" s="54"/>
      <c r="W6" s="42"/>
      <c r="X6" s="42"/>
      <c r="Y6" s="42"/>
      <c r="Z6" s="55"/>
      <c r="AA6" s="42"/>
      <c r="AB6" s="42"/>
      <c r="AC6" s="42"/>
      <c r="AD6" s="42"/>
      <c r="AE6" s="42"/>
      <c r="AF6" s="55"/>
      <c r="AG6" s="55"/>
      <c r="AH6" s="42"/>
      <c r="AI6" s="20"/>
      <c r="AJ6" s="56"/>
      <c r="AK6" s="42"/>
      <c r="AL6" s="42"/>
      <c r="AM6" s="55"/>
      <c r="AN6" s="42"/>
      <c r="AO6" s="42"/>
      <c r="AP6" s="42"/>
      <c r="AQ6" s="42"/>
      <c r="AR6" s="42"/>
      <c r="AS6" s="42"/>
      <c r="AT6" s="55"/>
      <c r="AU6" s="57"/>
      <c r="AV6" s="57"/>
      <c r="AW6" s="57"/>
      <c r="AX6" s="57"/>
      <c r="AY6" s="57"/>
      <c r="AZ6" s="57"/>
      <c r="BA6" s="57"/>
      <c r="BB6" s="58"/>
      <c r="BC6" s="57"/>
      <c r="BD6" s="58"/>
      <c r="BE6" s="57"/>
      <c r="BF6" s="57"/>
      <c r="BG6" s="57"/>
      <c r="BH6" s="57"/>
      <c r="BI6" s="54"/>
      <c r="BJ6" s="53"/>
      <c r="BK6" s="53"/>
      <c r="BL6" s="59" t="str">
        <f>BL3*0.08</f>
        <v>0</v>
      </c>
      <c r="BM6" s="59" t="str">
        <f>BM3*0.32</f>
        <v>0</v>
      </c>
      <c r="BN6" s="59" t="str">
        <f>BN3*0.028</f>
        <v>0</v>
      </c>
      <c r="BO6" s="59" t="str">
        <f>BO3*0.112</f>
        <v>0</v>
      </c>
      <c r="BP6" s="60"/>
      <c r="BQ6" s="59"/>
      <c r="BR6" s="59"/>
      <c r="BS6" s="59"/>
      <c r="BT6" s="59"/>
      <c r="BU6" s="59" t="str">
        <f>BU3*0.2</f>
        <v>0.1</v>
      </c>
      <c r="BV6" s="59"/>
      <c r="BW6" s="59"/>
      <c r="BX6" s="60"/>
      <c r="BY6" s="61"/>
      <c r="BZ6" s="61"/>
      <c r="CA6" s="61"/>
      <c r="CB6" s="61"/>
      <c r="CC6" s="61" t="str">
        <f>CC3*0.0056</f>
        <v>0</v>
      </c>
      <c r="CD6" s="61"/>
      <c r="CE6" s="61"/>
      <c r="CF6" s="61"/>
      <c r="CG6" s="55"/>
      <c r="CH6" s="55"/>
      <c r="CI6" s="28"/>
      <c r="CJ6" s="49"/>
      <c r="CK6" s="50" t="str">
        <f t="shared" si="1"/>
        <v>0.16</v>
      </c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</row>
    <row r="7">
      <c r="A7" s="51" t="s">
        <v>95</v>
      </c>
      <c r="B7" s="52" t="s">
        <v>96</v>
      </c>
      <c r="C7" s="53"/>
      <c r="D7" s="54"/>
      <c r="E7" s="53"/>
      <c r="F7" s="54"/>
      <c r="G7" s="53"/>
      <c r="H7" s="53"/>
      <c r="I7" s="54"/>
      <c r="J7" s="53"/>
      <c r="K7" s="53"/>
      <c r="L7" s="54"/>
      <c r="M7" s="54"/>
      <c r="N7" s="54"/>
      <c r="O7" s="53"/>
      <c r="P7" s="53"/>
      <c r="Q7" s="53"/>
      <c r="R7" s="53"/>
      <c r="S7" s="54"/>
      <c r="T7" s="53"/>
      <c r="U7" s="54"/>
      <c r="V7" s="54"/>
      <c r="W7" s="42"/>
      <c r="X7" s="42"/>
      <c r="Y7" s="42"/>
      <c r="Z7" s="55"/>
      <c r="AA7" s="42"/>
      <c r="AB7" s="42"/>
      <c r="AC7" s="42"/>
      <c r="AD7" s="42"/>
      <c r="AE7" s="42"/>
      <c r="AF7" s="55"/>
      <c r="AG7" s="55"/>
      <c r="AH7" s="42"/>
      <c r="AI7" s="20"/>
      <c r="AJ7" s="56"/>
      <c r="AK7" s="42"/>
      <c r="AL7" s="42"/>
      <c r="AM7" s="55"/>
      <c r="AN7" s="42"/>
      <c r="AO7" s="42" t="str">
        <f>AO3*0.017</f>
        <v>0</v>
      </c>
      <c r="AP7" s="42"/>
      <c r="AQ7" s="42"/>
      <c r="AR7" s="42"/>
      <c r="AS7" s="42"/>
      <c r="AT7" s="55"/>
      <c r="AU7" s="57"/>
      <c r="AV7" s="57"/>
      <c r="AW7" s="57"/>
      <c r="AX7" s="57"/>
      <c r="AY7" s="57"/>
      <c r="AZ7" s="57"/>
      <c r="BA7" s="57"/>
      <c r="BB7" s="58"/>
      <c r="BC7" s="57"/>
      <c r="BD7" s="58"/>
      <c r="BE7" s="57" t="str">
        <f t="shared" ref="BE7:BF7" si="2">BE3*0.003</f>
        <v>0</v>
      </c>
      <c r="BF7" s="57" t="str">
        <f t="shared" si="2"/>
        <v>0</v>
      </c>
      <c r="BG7" s="57"/>
      <c r="BH7" s="57"/>
      <c r="BI7" s="54"/>
      <c r="BJ7" s="53"/>
      <c r="BK7" s="53"/>
      <c r="BL7" s="59"/>
      <c r="BM7" s="59"/>
      <c r="BN7" s="59"/>
      <c r="BO7" s="59"/>
      <c r="BP7" s="60"/>
      <c r="BQ7" s="59"/>
      <c r="BR7" s="59"/>
      <c r="BS7" s="59"/>
      <c r="BT7" s="59"/>
      <c r="BU7" s="59"/>
      <c r="BV7" s="59"/>
      <c r="BW7" s="59"/>
      <c r="BX7" s="60"/>
      <c r="BY7" s="61"/>
      <c r="BZ7" s="61"/>
      <c r="CA7" s="61"/>
      <c r="CB7" s="61"/>
      <c r="CC7" s="61"/>
      <c r="CD7" s="61"/>
      <c r="CE7" s="61"/>
      <c r="CF7" s="61"/>
      <c r="CG7" s="55"/>
      <c r="CH7" s="55"/>
      <c r="CI7" s="28"/>
      <c r="CJ7" s="49"/>
      <c r="CK7" s="50" t="str">
        <f t="shared" si="1"/>
        <v>0</v>
      </c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</row>
    <row r="8">
      <c r="A8" s="62" t="s">
        <v>97</v>
      </c>
      <c r="B8" s="63" t="s">
        <v>98</v>
      </c>
      <c r="C8" s="53"/>
      <c r="D8" s="54"/>
      <c r="E8" s="53"/>
      <c r="F8" s="54"/>
      <c r="G8" s="53"/>
      <c r="H8" s="53"/>
      <c r="I8" s="54"/>
      <c r="J8" s="53"/>
      <c r="K8" s="53"/>
      <c r="L8" s="54"/>
      <c r="M8" s="54"/>
      <c r="N8" s="54"/>
      <c r="O8" s="53"/>
      <c r="P8" s="53"/>
      <c r="Q8" s="53"/>
      <c r="R8" s="53"/>
      <c r="S8" s="54"/>
      <c r="T8" s="53"/>
      <c r="U8" s="54"/>
      <c r="V8" s="54"/>
      <c r="W8" s="42"/>
      <c r="X8" s="42"/>
      <c r="Y8" s="42" t="str">
        <f>Y3*105</f>
        <v>0</v>
      </c>
      <c r="Z8" s="55" t="str">
        <f>Z3*67.5</f>
        <v>0</v>
      </c>
      <c r="AA8" s="42"/>
      <c r="AB8" s="42"/>
      <c r="AC8" s="42"/>
      <c r="AD8" s="42"/>
      <c r="AE8" s="42"/>
      <c r="AF8" s="55"/>
      <c r="AG8" s="55"/>
      <c r="AH8" s="42"/>
      <c r="AI8" s="20"/>
      <c r="AJ8" s="56"/>
      <c r="AK8" s="42"/>
      <c r="AL8" s="42"/>
      <c r="AM8" s="55"/>
      <c r="AN8" s="42"/>
      <c r="AO8" s="42"/>
      <c r="AP8" s="42"/>
      <c r="AQ8" s="42"/>
      <c r="AR8" s="42"/>
      <c r="AS8" s="42"/>
      <c r="AT8" s="55"/>
      <c r="AU8" s="57"/>
      <c r="AV8" s="57"/>
      <c r="AW8" s="57"/>
      <c r="AX8" s="57"/>
      <c r="AY8" s="57"/>
      <c r="AZ8" s="57"/>
      <c r="BA8" s="57"/>
      <c r="BB8" s="58"/>
      <c r="BC8" s="57"/>
      <c r="BD8" s="58"/>
      <c r="BE8" s="57"/>
      <c r="BF8" s="57"/>
      <c r="BG8" s="57"/>
      <c r="BH8" s="57"/>
      <c r="BI8" s="54"/>
      <c r="BJ8" s="53"/>
      <c r="BK8" s="53"/>
      <c r="BL8" s="59"/>
      <c r="BM8" s="59"/>
      <c r="BN8" s="59" t="str">
        <f>BN3*5</f>
        <v>0</v>
      </c>
      <c r="BO8" s="59" t="str">
        <f>BO3*20</f>
        <v>0</v>
      </c>
      <c r="BP8" s="60"/>
      <c r="BQ8" s="59"/>
      <c r="BR8" s="59"/>
      <c r="BS8" s="59"/>
      <c r="BT8" s="59"/>
      <c r="BU8" s="59"/>
      <c r="BV8" s="59"/>
      <c r="BW8" s="59"/>
      <c r="BX8" s="60"/>
      <c r="BY8" s="61"/>
      <c r="BZ8" s="61"/>
      <c r="CA8" s="61"/>
      <c r="CB8" s="61"/>
      <c r="CC8" s="61"/>
      <c r="CD8" s="61"/>
      <c r="CE8" s="61"/>
      <c r="CF8" s="61"/>
      <c r="CG8" s="55"/>
      <c r="CH8" s="55"/>
      <c r="CI8" s="28"/>
      <c r="CJ8" s="49"/>
      <c r="CK8" s="50" t="str">
        <f t="shared" si="1"/>
        <v>0</v>
      </c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</row>
    <row r="9">
      <c r="A9" s="51" t="s">
        <v>99</v>
      </c>
      <c r="B9" s="52" t="s">
        <v>100</v>
      </c>
      <c r="C9" s="53"/>
      <c r="D9" s="54"/>
      <c r="E9" s="53"/>
      <c r="F9" s="54"/>
      <c r="G9" s="53"/>
      <c r="H9" s="53" t="str">
        <f>H3*20</f>
        <v>20</v>
      </c>
      <c r="I9" s="54" t="str">
        <f>40*I3</f>
        <v>160</v>
      </c>
      <c r="J9" s="53"/>
      <c r="K9" s="53"/>
      <c r="L9" s="54"/>
      <c r="M9" s="54"/>
      <c r="N9" s="54"/>
      <c r="O9" s="53"/>
      <c r="P9" s="53"/>
      <c r="Q9" s="53"/>
      <c r="R9" s="53"/>
      <c r="S9" s="54"/>
      <c r="T9" s="53"/>
      <c r="U9" s="54"/>
      <c r="V9" s="54"/>
      <c r="W9" s="42"/>
      <c r="X9" s="42"/>
      <c r="Y9" s="42"/>
      <c r="Z9" s="55"/>
      <c r="AA9" s="42"/>
      <c r="AB9" s="42"/>
      <c r="AC9" s="42"/>
      <c r="AD9" s="42"/>
      <c r="AE9" s="42"/>
      <c r="AF9" s="55"/>
      <c r="AG9" s="55"/>
      <c r="AH9" s="42"/>
      <c r="AI9" s="20"/>
      <c r="AJ9" s="56"/>
      <c r="AK9" s="42"/>
      <c r="AL9" s="42"/>
      <c r="AM9" s="55"/>
      <c r="AN9" s="42"/>
      <c r="AO9" s="42"/>
      <c r="AP9" s="42"/>
      <c r="AQ9" s="42"/>
      <c r="AR9" s="42"/>
      <c r="AS9" s="42"/>
      <c r="AT9" s="55"/>
      <c r="AU9" s="57"/>
      <c r="AV9" s="57"/>
      <c r="AW9" s="57"/>
      <c r="AX9" s="57"/>
      <c r="AY9" s="57"/>
      <c r="AZ9" s="57"/>
      <c r="BA9" s="57"/>
      <c r="BB9" s="58"/>
      <c r="BC9" s="57"/>
      <c r="BD9" s="58"/>
      <c r="BE9" s="57"/>
      <c r="BF9" s="57"/>
      <c r="BG9" s="57"/>
      <c r="BH9" s="57"/>
      <c r="BI9" s="54"/>
      <c r="BJ9" s="53"/>
      <c r="BK9" s="53"/>
      <c r="BL9" s="59"/>
      <c r="BM9" s="59"/>
      <c r="BN9" s="59"/>
      <c r="BO9" s="59"/>
      <c r="BP9" s="60"/>
      <c r="BQ9" s="59"/>
      <c r="BR9" s="59"/>
      <c r="BS9" s="59"/>
      <c r="BT9" s="59"/>
      <c r="BU9" s="59"/>
      <c r="BV9" s="59"/>
      <c r="BW9" s="59"/>
      <c r="BX9" s="60"/>
      <c r="BY9" s="61"/>
      <c r="BZ9" s="61"/>
      <c r="CA9" s="61"/>
      <c r="CB9" s="61"/>
      <c r="CC9" s="61"/>
      <c r="CD9" s="61"/>
      <c r="CE9" s="61"/>
      <c r="CF9" s="61"/>
      <c r="CG9" s="55"/>
      <c r="CH9" s="55"/>
      <c r="CI9" s="28"/>
      <c r="CJ9" s="49"/>
      <c r="CK9" s="50" t="str">
        <f t="shared" si="1"/>
        <v>180</v>
      </c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>
      <c r="A10" s="62" t="s">
        <v>101</v>
      </c>
      <c r="B10" s="63" t="s">
        <v>102</v>
      </c>
      <c r="C10" s="53"/>
      <c r="D10" s="54"/>
      <c r="E10" s="53" t="str">
        <f>E3*0.06</f>
        <v>0.3</v>
      </c>
      <c r="F10" s="54"/>
      <c r="G10" s="53"/>
      <c r="H10" s="53"/>
      <c r="I10" s="54"/>
      <c r="J10" s="53"/>
      <c r="K10" s="53"/>
      <c r="L10" s="54"/>
      <c r="M10" s="54"/>
      <c r="N10" s="54"/>
      <c r="O10" s="53"/>
      <c r="P10" s="53" t="str">
        <f>P3*0.2</f>
        <v>0.2</v>
      </c>
      <c r="Q10" s="53" t="str">
        <f>Q3*0.04</f>
        <v>0</v>
      </c>
      <c r="R10" s="53"/>
      <c r="S10" s="54"/>
      <c r="T10" s="53"/>
      <c r="U10" s="54" t="str">
        <f>0.06*U3</f>
        <v>0</v>
      </c>
      <c r="V10" s="54"/>
      <c r="W10" s="42"/>
      <c r="X10" s="42"/>
      <c r="Y10" s="42"/>
      <c r="Z10" s="55"/>
      <c r="AA10" s="42"/>
      <c r="AB10" s="42"/>
      <c r="AC10" s="42"/>
      <c r="AD10" s="42"/>
      <c r="AE10" s="42"/>
      <c r="AF10" s="55"/>
      <c r="AG10" s="55"/>
      <c r="AH10" s="42"/>
      <c r="AI10" s="20"/>
      <c r="AJ10" s="56"/>
      <c r="AK10" s="42"/>
      <c r="AL10" s="42"/>
      <c r="AM10" s="55"/>
      <c r="AN10" s="42"/>
      <c r="AO10" s="42"/>
      <c r="AP10" s="42"/>
      <c r="AQ10" s="42"/>
      <c r="AR10" s="42"/>
      <c r="AS10" s="42"/>
      <c r="AT10" s="55"/>
      <c r="AU10" s="57"/>
      <c r="AV10" s="57"/>
      <c r="AW10" s="57"/>
      <c r="AX10" s="57"/>
      <c r="AY10" s="57" t="str">
        <f>AY3*0.004</f>
        <v>0.002</v>
      </c>
      <c r="AZ10" s="57"/>
      <c r="BA10" s="57"/>
      <c r="BB10" s="58"/>
      <c r="BC10" s="57"/>
      <c r="BD10" s="58"/>
      <c r="BE10" s="57"/>
      <c r="BF10" s="57"/>
      <c r="BG10" s="57"/>
      <c r="BH10" s="57"/>
      <c r="BI10" s="54"/>
      <c r="BJ10" s="53"/>
      <c r="BK10" s="53"/>
      <c r="BL10" s="59"/>
      <c r="BM10" s="59"/>
      <c r="BN10" s="59" t="str">
        <f>BN3*0.02</f>
        <v>0</v>
      </c>
      <c r="BO10" s="59" t="str">
        <f>BO3*0.08</f>
        <v>0</v>
      </c>
      <c r="BP10" s="60"/>
      <c r="BQ10" s="59"/>
      <c r="BR10" s="59"/>
      <c r="BS10" s="59"/>
      <c r="BT10" s="59"/>
      <c r="BU10" s="59"/>
      <c r="BV10" s="59"/>
      <c r="BW10" s="59"/>
      <c r="BX10" s="60"/>
      <c r="BY10" s="61"/>
      <c r="BZ10" s="61"/>
      <c r="CA10" s="61"/>
      <c r="CB10" s="61"/>
      <c r="CC10" s="61"/>
      <c r="CD10" s="61"/>
      <c r="CE10" s="61"/>
      <c r="CF10" s="61"/>
      <c r="CG10" s="55" t="str">
        <f>CG3*0.06</f>
        <v>0.06</v>
      </c>
      <c r="CH10" s="55"/>
      <c r="CI10" s="28"/>
      <c r="CJ10" s="49"/>
      <c r="CK10" s="50" t="str">
        <f t="shared" si="1"/>
        <v>0.562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</row>
    <row r="11">
      <c r="A11" s="51" t="s">
        <v>103</v>
      </c>
      <c r="B11" s="52" t="s">
        <v>104</v>
      </c>
      <c r="C11" s="53"/>
      <c r="D11" s="54"/>
      <c r="E11" s="53"/>
      <c r="F11" s="54"/>
      <c r="G11" s="53"/>
      <c r="H11" s="53"/>
      <c r="I11" s="54"/>
      <c r="J11" s="53"/>
      <c r="K11" s="53"/>
      <c r="L11" s="54"/>
      <c r="M11" s="54" t="str">
        <f>11*M3</f>
        <v>33</v>
      </c>
      <c r="N11" s="54"/>
      <c r="O11" s="53"/>
      <c r="P11" s="53"/>
      <c r="Q11" s="53"/>
      <c r="R11" s="53"/>
      <c r="S11" s="54"/>
      <c r="T11" s="53"/>
      <c r="U11" s="54"/>
      <c r="V11" s="54"/>
      <c r="W11" s="42"/>
      <c r="X11" s="42"/>
      <c r="Y11" s="42"/>
      <c r="Z11" s="55"/>
      <c r="AA11" s="42"/>
      <c r="AB11" s="42"/>
      <c r="AC11" s="42"/>
      <c r="AD11" s="42"/>
      <c r="AE11" s="42"/>
      <c r="AF11" s="55"/>
      <c r="AG11" s="55"/>
      <c r="AH11" s="42"/>
      <c r="AI11" s="20"/>
      <c r="AJ11" s="56"/>
      <c r="AK11" s="42"/>
      <c r="AL11" s="42"/>
      <c r="AM11" s="55"/>
      <c r="AN11" s="42"/>
      <c r="AO11" s="42"/>
      <c r="AP11" s="42"/>
      <c r="AQ11" s="42"/>
      <c r="AR11" s="42"/>
      <c r="AS11" s="42"/>
      <c r="AT11" s="55"/>
      <c r="AU11" s="57"/>
      <c r="AV11" s="57"/>
      <c r="AW11" s="57"/>
      <c r="AX11" s="57"/>
      <c r="AY11" s="57"/>
      <c r="AZ11" s="57"/>
      <c r="BA11" s="57"/>
      <c r="BB11" s="58"/>
      <c r="BC11" s="57"/>
      <c r="BD11" s="58"/>
      <c r="BE11" s="57"/>
      <c r="BF11" s="57"/>
      <c r="BG11" s="57"/>
      <c r="BH11" s="57"/>
      <c r="BI11" s="54"/>
      <c r="BJ11" s="53"/>
      <c r="BK11" s="53"/>
      <c r="BL11" s="59"/>
      <c r="BM11" s="59"/>
      <c r="BN11" s="59"/>
      <c r="BO11" s="59"/>
      <c r="BP11" s="60"/>
      <c r="BQ11" s="59"/>
      <c r="BR11" s="59"/>
      <c r="BS11" s="59"/>
      <c r="BT11" s="59"/>
      <c r="BU11" s="59"/>
      <c r="BV11" s="59"/>
      <c r="BW11" s="59"/>
      <c r="BX11" s="60"/>
      <c r="BY11" s="61"/>
      <c r="BZ11" s="61"/>
      <c r="CA11" s="61"/>
      <c r="CB11" s="61"/>
      <c r="CC11" s="61"/>
      <c r="CD11" s="61"/>
      <c r="CE11" s="61"/>
      <c r="CF11" s="61"/>
      <c r="CG11" s="55"/>
      <c r="CH11" s="55"/>
      <c r="CI11" s="28"/>
      <c r="CJ11" s="49"/>
      <c r="CK11" s="50" t="str">
        <f t="shared" si="1"/>
        <v>33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</row>
    <row r="12">
      <c r="A12" s="62" t="s">
        <v>105</v>
      </c>
      <c r="B12" s="63" t="s">
        <v>106</v>
      </c>
      <c r="C12" s="53"/>
      <c r="D12" s="54"/>
      <c r="E12" s="53"/>
      <c r="F12" s="54"/>
      <c r="G12" s="53"/>
      <c r="H12" s="53"/>
      <c r="I12" s="54"/>
      <c r="J12" s="53"/>
      <c r="K12" s="53"/>
      <c r="L12" s="54"/>
      <c r="M12" s="54"/>
      <c r="N12" s="54"/>
      <c r="O12" s="53"/>
      <c r="P12" s="53"/>
      <c r="Q12" s="53" t="str">
        <f>Q3*45</f>
        <v>0</v>
      </c>
      <c r="R12" s="53"/>
      <c r="S12" s="54"/>
      <c r="T12" s="53"/>
      <c r="U12" s="54"/>
      <c r="V12" s="54"/>
      <c r="W12" s="42"/>
      <c r="X12" s="42"/>
      <c r="Y12" s="42"/>
      <c r="Z12" s="55"/>
      <c r="AA12" s="42"/>
      <c r="AB12" s="42"/>
      <c r="AC12" s="42"/>
      <c r="AD12" s="42"/>
      <c r="AE12" s="42"/>
      <c r="AF12" s="55"/>
      <c r="AG12" s="55"/>
      <c r="AH12" s="42"/>
      <c r="AI12" s="20"/>
      <c r="AJ12" s="56"/>
      <c r="AK12" s="42"/>
      <c r="AL12" s="42"/>
      <c r="AM12" s="55" t="str">
        <f>AM3*30</f>
        <v>0</v>
      </c>
      <c r="AN12" s="42"/>
      <c r="AO12" s="42"/>
      <c r="AP12" s="42"/>
      <c r="AQ12" s="42"/>
      <c r="AR12" s="42"/>
      <c r="AS12" s="42"/>
      <c r="AT12" s="55"/>
      <c r="AU12" s="57"/>
      <c r="AV12" s="57"/>
      <c r="AW12" s="57"/>
      <c r="AX12" s="57"/>
      <c r="AY12" s="57"/>
      <c r="AZ12" s="57"/>
      <c r="BA12" s="57"/>
      <c r="BB12" s="58"/>
      <c r="BC12" s="57"/>
      <c r="BD12" s="58"/>
      <c r="BE12" s="57"/>
      <c r="BF12" s="57"/>
      <c r="BG12" s="57"/>
      <c r="BH12" s="57"/>
      <c r="BI12" s="54"/>
      <c r="BJ12" s="53"/>
      <c r="BK12" s="53"/>
      <c r="BL12" s="59"/>
      <c r="BM12" s="59"/>
      <c r="BN12" s="59"/>
      <c r="BO12" s="59"/>
      <c r="BP12" s="60"/>
      <c r="BQ12" s="59"/>
      <c r="BR12" s="59"/>
      <c r="BS12" s="59"/>
      <c r="BT12" s="59"/>
      <c r="BU12" s="59"/>
      <c r="BV12" s="59"/>
      <c r="BW12" s="59"/>
      <c r="BX12" s="60"/>
      <c r="BY12" s="61"/>
      <c r="BZ12" s="61"/>
      <c r="CA12" s="61"/>
      <c r="CB12" s="61" t="str">
        <f>CB3*54</f>
        <v>54</v>
      </c>
      <c r="CC12" s="61"/>
      <c r="CD12" s="61"/>
      <c r="CE12" s="61"/>
      <c r="CF12" s="61"/>
      <c r="CG12" s="55"/>
      <c r="CH12" s="55"/>
      <c r="CI12" s="28"/>
      <c r="CJ12" s="49"/>
      <c r="CK12" s="50" t="str">
        <f t="shared" si="1"/>
        <v>54</v>
      </c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</row>
    <row r="13">
      <c r="A13" s="51" t="s">
        <v>107</v>
      </c>
      <c r="B13" s="52" t="s">
        <v>108</v>
      </c>
      <c r="C13" s="53"/>
      <c r="D13" s="54"/>
      <c r="E13" s="53"/>
      <c r="F13" s="54"/>
      <c r="G13" s="53"/>
      <c r="H13" s="53"/>
      <c r="I13" s="54"/>
      <c r="J13" s="53"/>
      <c r="K13" s="53"/>
      <c r="L13" s="54"/>
      <c r="M13" s="54"/>
      <c r="N13" s="54"/>
      <c r="O13" s="53"/>
      <c r="P13" s="53" t="str">
        <f>P3*110</f>
        <v>110</v>
      </c>
      <c r="Q13" s="53" t="str">
        <f t="shared" ref="Q13:R13" si="3">Q3*120</f>
        <v>0</v>
      </c>
      <c r="R13" s="53" t="str">
        <f t="shared" si="3"/>
        <v>0</v>
      </c>
      <c r="S13" s="54"/>
      <c r="T13" s="53"/>
      <c r="U13" s="54"/>
      <c r="V13" s="54"/>
      <c r="W13" s="42"/>
      <c r="X13" s="42"/>
      <c r="Y13" s="42"/>
      <c r="Z13" s="55"/>
      <c r="AA13" s="42"/>
      <c r="AB13" s="42"/>
      <c r="AC13" s="42"/>
      <c r="AD13" s="42"/>
      <c r="AE13" s="42"/>
      <c r="AF13" s="55"/>
      <c r="AG13" s="55"/>
      <c r="AH13" s="42"/>
      <c r="AI13" s="20"/>
      <c r="AJ13" s="56"/>
      <c r="AK13" s="42"/>
      <c r="AL13" s="42"/>
      <c r="AM13" s="55"/>
      <c r="AN13" s="42"/>
      <c r="AO13" s="42"/>
      <c r="AP13" s="42"/>
      <c r="AQ13" s="42"/>
      <c r="AR13" s="42"/>
      <c r="AS13" s="42"/>
      <c r="AT13" s="55"/>
      <c r="AU13" s="57"/>
      <c r="AV13" s="57"/>
      <c r="AW13" s="57"/>
      <c r="AX13" s="57"/>
      <c r="AY13" s="57"/>
      <c r="AZ13" s="57"/>
      <c r="BA13" s="57"/>
      <c r="BB13" s="58"/>
      <c r="BC13" s="57"/>
      <c r="BD13" s="58"/>
      <c r="BE13" s="57"/>
      <c r="BF13" s="57"/>
      <c r="BG13" s="57"/>
      <c r="BH13" s="57"/>
      <c r="BI13" s="54"/>
      <c r="BJ13" s="53"/>
      <c r="BK13" s="53"/>
      <c r="BL13" s="59"/>
      <c r="BM13" s="59"/>
      <c r="BN13" s="59" t="str">
        <f>BN3*20</f>
        <v>0</v>
      </c>
      <c r="BO13" s="59" t="str">
        <f>BO3*80</f>
        <v>0</v>
      </c>
      <c r="BP13" s="60"/>
      <c r="BQ13" s="59"/>
      <c r="BR13" s="59"/>
      <c r="BS13" s="59"/>
      <c r="BT13" s="59"/>
      <c r="BU13" s="59"/>
      <c r="BV13" s="59"/>
      <c r="BW13" s="59"/>
      <c r="BX13" s="60" t="str">
        <f>80*BX3</f>
        <v>160</v>
      </c>
      <c r="BY13" s="61"/>
      <c r="BZ13" s="61"/>
      <c r="CA13" s="61" t="str">
        <f>60*CA3</f>
        <v>60</v>
      </c>
      <c r="CB13" s="61"/>
      <c r="CC13" s="61" t="str">
        <f>CC3*60</f>
        <v>0</v>
      </c>
      <c r="CD13" s="61"/>
      <c r="CE13" s="61"/>
      <c r="CF13" s="61"/>
      <c r="CG13" s="55"/>
      <c r="CH13" s="55"/>
      <c r="CI13" s="28"/>
      <c r="CJ13" s="49"/>
      <c r="CK13" s="50" t="str">
        <f t="shared" si="1"/>
        <v>330</v>
      </c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</row>
    <row r="14">
      <c r="A14" s="62" t="s">
        <v>109</v>
      </c>
      <c r="B14" s="63" t="s">
        <v>110</v>
      </c>
      <c r="C14" s="53"/>
      <c r="D14" s="54" t="str">
        <f>114.24*D3</f>
        <v>342.72</v>
      </c>
      <c r="E14" s="53"/>
      <c r="F14" s="54" t="str">
        <f>8*F3</f>
        <v>16</v>
      </c>
      <c r="G14" s="53"/>
      <c r="H14" s="53"/>
      <c r="I14" s="54"/>
      <c r="J14" s="53"/>
      <c r="K14" s="53"/>
      <c r="L14" s="54"/>
      <c r="M14" s="54"/>
      <c r="N14" s="54"/>
      <c r="O14" s="53"/>
      <c r="P14" s="53"/>
      <c r="Q14" s="53"/>
      <c r="R14" s="53"/>
      <c r="S14" s="54" t="str">
        <f>8*S3</f>
        <v>0</v>
      </c>
      <c r="T14" s="53"/>
      <c r="U14" s="54"/>
      <c r="V14" s="54"/>
      <c r="W14" s="42"/>
      <c r="X14" s="42"/>
      <c r="Y14" s="42"/>
      <c r="Z14" s="55"/>
      <c r="AA14" s="42"/>
      <c r="AB14" s="42"/>
      <c r="AC14" s="42"/>
      <c r="AD14" s="42"/>
      <c r="AE14" s="42"/>
      <c r="AF14" s="55"/>
      <c r="AG14" s="55"/>
      <c r="AH14" s="42"/>
      <c r="AI14" s="20"/>
      <c r="AJ14" s="56"/>
      <c r="AK14" s="42"/>
      <c r="AL14" s="42"/>
      <c r="AM14" s="55"/>
      <c r="AN14" s="42"/>
      <c r="AO14" s="42"/>
      <c r="AP14" s="42"/>
      <c r="AQ14" s="42"/>
      <c r="AR14" s="42"/>
      <c r="AS14" s="42"/>
      <c r="AT14" s="55"/>
      <c r="AU14" s="57"/>
      <c r="AV14" s="57"/>
      <c r="AW14" s="57"/>
      <c r="AX14" s="57"/>
      <c r="AY14" s="57"/>
      <c r="AZ14" s="57"/>
      <c r="BA14" s="57"/>
      <c r="BB14" s="58"/>
      <c r="BC14" s="57"/>
      <c r="BD14" s="58"/>
      <c r="BE14" s="57"/>
      <c r="BF14" s="57"/>
      <c r="BG14" s="57"/>
      <c r="BH14" s="57"/>
      <c r="BI14" s="54"/>
      <c r="BJ14" s="53"/>
      <c r="BK14" s="53"/>
      <c r="BL14" s="59"/>
      <c r="BM14" s="59"/>
      <c r="BN14" s="59"/>
      <c r="BO14" s="59"/>
      <c r="BP14" s="60"/>
      <c r="BQ14" s="59"/>
      <c r="BR14" s="59"/>
      <c r="BS14" s="59"/>
      <c r="BT14" s="59"/>
      <c r="BU14" s="59"/>
      <c r="BV14" s="59"/>
      <c r="BW14" s="59" t="str">
        <f>BW3*4</f>
        <v>0</v>
      </c>
      <c r="BX14" s="60"/>
      <c r="BY14" s="61" t="str">
        <f>BY3*128</f>
        <v>64</v>
      </c>
      <c r="BZ14" s="61"/>
      <c r="CA14" s="61"/>
      <c r="CB14" s="61"/>
      <c r="CC14" s="61" t="str">
        <f>CC3*60</f>
        <v>0</v>
      </c>
      <c r="CD14" s="61"/>
      <c r="CE14" s="61"/>
      <c r="CF14" s="61"/>
      <c r="CG14" s="55"/>
      <c r="CH14" s="55"/>
      <c r="CI14" s="28"/>
      <c r="CJ14" s="49"/>
      <c r="CK14" s="50" t="str">
        <f t="shared" si="1"/>
        <v>422.72</v>
      </c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</row>
    <row r="15">
      <c r="A15" s="51" t="s">
        <v>111</v>
      </c>
      <c r="B15" s="52" t="s">
        <v>112</v>
      </c>
      <c r="C15" s="53"/>
      <c r="D15" s="54"/>
      <c r="E15" s="53"/>
      <c r="F15" s="54"/>
      <c r="G15" s="53"/>
      <c r="H15" s="53"/>
      <c r="I15" s="54"/>
      <c r="J15" s="53"/>
      <c r="K15" s="53"/>
      <c r="L15" s="54"/>
      <c r="M15" s="54"/>
      <c r="N15" s="54"/>
      <c r="O15" s="53"/>
      <c r="P15" s="53"/>
      <c r="Q15" s="53"/>
      <c r="R15" s="53"/>
      <c r="S15" s="54"/>
      <c r="T15" s="53"/>
      <c r="U15" s="54"/>
      <c r="V15" s="54" t="str">
        <f>V3*40</f>
        <v>40</v>
      </c>
      <c r="W15" s="42"/>
      <c r="X15" s="42"/>
      <c r="Y15" s="42"/>
      <c r="Z15" s="55"/>
      <c r="AA15" s="42"/>
      <c r="AB15" s="42"/>
      <c r="AC15" s="42"/>
      <c r="AD15" s="42"/>
      <c r="AE15" s="42"/>
      <c r="AF15" s="55"/>
      <c r="AG15" s="55"/>
      <c r="AH15" s="42"/>
      <c r="AI15" s="20"/>
      <c r="AJ15" s="56"/>
      <c r="AK15" s="42"/>
      <c r="AL15" s="42"/>
      <c r="AM15" s="55"/>
      <c r="AN15" s="42" t="str">
        <f>160*AN3</f>
        <v>160</v>
      </c>
      <c r="AO15" s="42"/>
      <c r="AP15" s="42"/>
      <c r="AQ15" s="42"/>
      <c r="AR15" s="42"/>
      <c r="AS15" s="42"/>
      <c r="AT15" s="55"/>
      <c r="AU15" s="57"/>
      <c r="AV15" s="57"/>
      <c r="AW15" s="57" t="str">
        <f t="shared" ref="AW15:AX15" si="4">AW3*190</f>
        <v>0</v>
      </c>
      <c r="AX15" s="57" t="str">
        <f t="shared" si="4"/>
        <v>0</v>
      </c>
      <c r="AY15" s="57" t="str">
        <f>AY3*80</f>
        <v>40</v>
      </c>
      <c r="AZ15" s="57" t="str">
        <f>AZ3*32</f>
        <v>32</v>
      </c>
      <c r="BA15" s="57" t="str">
        <f>BA3*190</f>
        <v>0</v>
      </c>
      <c r="BB15" s="58" t="str">
        <f>BB3*80</f>
        <v>0</v>
      </c>
      <c r="BC15" s="57" t="str">
        <f>190*BC3</f>
        <v>0</v>
      </c>
      <c r="BD15" s="58"/>
      <c r="BE15" s="57" t="str">
        <f>BE3*80</f>
        <v>0</v>
      </c>
      <c r="BF15" s="57" t="str">
        <f>BF3*190</f>
        <v>0</v>
      </c>
      <c r="BG15" s="57"/>
      <c r="BH15" s="57"/>
      <c r="BI15" s="54"/>
      <c r="BJ15" s="53"/>
      <c r="BK15" s="53"/>
      <c r="BL15" s="59"/>
      <c r="BM15" s="59"/>
      <c r="BN15" s="59"/>
      <c r="BO15" s="59"/>
      <c r="BP15" s="60"/>
      <c r="BQ15" s="59"/>
      <c r="BR15" s="59"/>
      <c r="BS15" s="59"/>
      <c r="BT15" s="59"/>
      <c r="BU15" s="59"/>
      <c r="BV15" s="59"/>
      <c r="BW15" s="59"/>
      <c r="BX15" s="60"/>
      <c r="BY15" s="61"/>
      <c r="BZ15" s="61"/>
      <c r="CA15" s="61"/>
      <c r="CB15" s="61"/>
      <c r="CC15" s="61"/>
      <c r="CD15" s="61"/>
      <c r="CE15" s="61"/>
      <c r="CF15" s="61"/>
      <c r="CG15" s="55"/>
      <c r="CH15" s="55"/>
      <c r="CI15" s="28"/>
      <c r="CJ15" s="49"/>
      <c r="CK15" s="50" t="str">
        <f t="shared" si="1"/>
        <v>272</v>
      </c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</row>
    <row r="16">
      <c r="A16" s="62" t="s">
        <v>113</v>
      </c>
      <c r="B16" s="63" t="s">
        <v>114</v>
      </c>
      <c r="C16" s="53"/>
      <c r="D16" s="54"/>
      <c r="E16" s="53"/>
      <c r="F16" s="54"/>
      <c r="G16" s="53"/>
      <c r="H16" s="53"/>
      <c r="I16" s="54"/>
      <c r="J16" s="53"/>
      <c r="K16" s="53"/>
      <c r="L16" s="54"/>
      <c r="M16" s="54"/>
      <c r="N16" s="54"/>
      <c r="O16" s="53"/>
      <c r="P16" s="53"/>
      <c r="Q16" s="53"/>
      <c r="R16" s="53" t="str">
        <f>R3*280</f>
        <v>0</v>
      </c>
      <c r="S16" s="54"/>
      <c r="T16" s="53"/>
      <c r="U16" s="54"/>
      <c r="V16" s="54"/>
      <c r="W16" s="42"/>
      <c r="X16" s="42"/>
      <c r="Y16" s="42"/>
      <c r="Z16" s="55"/>
      <c r="AA16" s="42"/>
      <c r="AB16" s="42"/>
      <c r="AC16" s="42"/>
      <c r="AD16" s="42"/>
      <c r="AE16" s="42"/>
      <c r="AF16" s="55"/>
      <c r="AG16" s="55"/>
      <c r="AH16" s="42"/>
      <c r="AI16" s="20"/>
      <c r="AJ16" s="56"/>
      <c r="AK16" s="42"/>
      <c r="AL16" s="42"/>
      <c r="AM16" s="55"/>
      <c r="AN16" s="42"/>
      <c r="AO16" s="42"/>
      <c r="AP16" s="42"/>
      <c r="AQ16" s="42"/>
      <c r="AR16" s="42"/>
      <c r="AS16" s="42"/>
      <c r="AT16" s="55"/>
      <c r="AU16" s="57"/>
      <c r="AV16" s="57"/>
      <c r="AW16" s="57"/>
      <c r="AX16" s="57"/>
      <c r="AY16" s="57"/>
      <c r="AZ16" s="57"/>
      <c r="BA16" s="57"/>
      <c r="BB16" s="58"/>
      <c r="BC16" s="57"/>
      <c r="BD16" s="58" t="str">
        <f>BD3*4</f>
        <v>0</v>
      </c>
      <c r="BE16" s="57"/>
      <c r="BF16" s="57"/>
      <c r="BG16" s="57"/>
      <c r="BH16" s="57"/>
      <c r="BI16" s="54"/>
      <c r="BJ16" s="53"/>
      <c r="BK16" s="53"/>
      <c r="BL16" s="59"/>
      <c r="BM16" s="59"/>
      <c r="BN16" s="59" t="str">
        <f>BN3*19.6</f>
        <v>0</v>
      </c>
      <c r="BO16" s="59" t="str">
        <f>BO3*78.4</f>
        <v>0</v>
      </c>
      <c r="BP16" s="60"/>
      <c r="BQ16" s="59"/>
      <c r="BR16" s="59"/>
      <c r="BS16" s="59"/>
      <c r="BT16" s="59"/>
      <c r="BU16" s="59"/>
      <c r="BV16" s="59"/>
      <c r="BW16" s="59"/>
      <c r="BX16" s="60"/>
      <c r="BY16" s="61"/>
      <c r="BZ16" s="61"/>
      <c r="CA16" s="61"/>
      <c r="CB16" s="61"/>
      <c r="CC16" s="61"/>
      <c r="CD16" s="61"/>
      <c r="CE16" s="61"/>
      <c r="CF16" s="61"/>
      <c r="CG16" s="55"/>
      <c r="CH16" s="55"/>
      <c r="CI16" s="28"/>
      <c r="CJ16" s="49"/>
      <c r="CK16" s="50" t="str">
        <f t="shared" si="1"/>
        <v>0</v>
      </c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</row>
    <row r="17">
      <c r="A17" s="51" t="s">
        <v>115</v>
      </c>
      <c r="B17" s="52" t="s">
        <v>116</v>
      </c>
      <c r="C17" s="53"/>
      <c r="D17" s="54"/>
      <c r="E17" s="53" t="str">
        <f>E3*80</f>
        <v>400</v>
      </c>
      <c r="F17" s="54"/>
      <c r="G17" s="53"/>
      <c r="H17" s="53" t="str">
        <f>H3*26</f>
        <v>26</v>
      </c>
      <c r="I17" s="54"/>
      <c r="J17" s="53"/>
      <c r="K17" s="53"/>
      <c r="L17" s="54"/>
      <c r="M17" s="54"/>
      <c r="N17" s="54"/>
      <c r="O17" s="53"/>
      <c r="P17" s="53" t="str">
        <f>P3*205.8</f>
        <v>205.8</v>
      </c>
      <c r="Q17" s="53" t="str">
        <f>Q3*25</f>
        <v>0</v>
      </c>
      <c r="R17" s="53"/>
      <c r="S17" s="54"/>
      <c r="T17" s="53"/>
      <c r="U17" s="54" t="str">
        <f>120*U3</f>
        <v>0</v>
      </c>
      <c r="V17" s="54" t="str">
        <f>V3*60</f>
        <v>60</v>
      </c>
      <c r="W17" s="42"/>
      <c r="X17" s="42"/>
      <c r="Y17" s="42"/>
      <c r="Z17" s="55" t="str">
        <f>Z3*21</f>
        <v>0</v>
      </c>
      <c r="AA17" s="42"/>
      <c r="AB17" s="42"/>
      <c r="AC17" s="42"/>
      <c r="AD17" s="42"/>
      <c r="AE17" s="42"/>
      <c r="AF17" s="55"/>
      <c r="AG17" s="55"/>
      <c r="AH17" s="42"/>
      <c r="AI17" s="20"/>
      <c r="AJ17" s="56"/>
      <c r="AK17" s="42"/>
      <c r="AL17" s="42"/>
      <c r="AM17" s="55" t="str">
        <f>AM3*120</f>
        <v>0</v>
      </c>
      <c r="AN17" s="42"/>
      <c r="AO17" s="42"/>
      <c r="AP17" s="42" t="str">
        <f>AP3*151.5</f>
        <v>0</v>
      </c>
      <c r="AQ17" s="42"/>
      <c r="AR17" s="42"/>
      <c r="AS17" s="42"/>
      <c r="AT17" s="55"/>
      <c r="AU17" s="57"/>
      <c r="AV17" s="57"/>
      <c r="AW17" s="57"/>
      <c r="AX17" s="57"/>
      <c r="AY17" s="57"/>
      <c r="AZ17" s="57"/>
      <c r="BA17" s="57"/>
      <c r="BB17" s="58"/>
      <c r="BC17" s="57"/>
      <c r="BD17" s="58"/>
      <c r="BE17" s="57"/>
      <c r="BF17" s="57"/>
      <c r="BG17" s="57"/>
      <c r="BH17" s="57"/>
      <c r="BI17" s="54"/>
      <c r="BJ17" s="53"/>
      <c r="BK17" s="53"/>
      <c r="BL17" s="59"/>
      <c r="BM17" s="59"/>
      <c r="BN17" s="59"/>
      <c r="BO17" s="59"/>
      <c r="BP17" s="60"/>
      <c r="BQ17" s="59"/>
      <c r="BR17" s="59"/>
      <c r="BS17" s="59"/>
      <c r="BT17" s="59"/>
      <c r="BU17" s="59"/>
      <c r="BV17" s="59" t="str">
        <f>BV3*40</f>
        <v>40</v>
      </c>
      <c r="BW17" s="59"/>
      <c r="BX17" s="60"/>
      <c r="BY17" s="61"/>
      <c r="BZ17" s="61"/>
      <c r="CA17" s="61"/>
      <c r="CB17" s="61" t="str">
        <f>CB3*120</f>
        <v>120</v>
      </c>
      <c r="CC17" s="61"/>
      <c r="CD17" s="61"/>
      <c r="CE17" s="61"/>
      <c r="CF17" s="61"/>
      <c r="CG17" s="55" t="str">
        <f>CG3*129.4</f>
        <v>129.4</v>
      </c>
      <c r="CH17" s="55"/>
      <c r="CI17" s="28"/>
      <c r="CJ17" s="49"/>
      <c r="CK17" s="50" t="str">
        <f t="shared" si="1"/>
        <v>981.2</v>
      </c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</row>
    <row r="18">
      <c r="A18" s="62" t="s">
        <v>117</v>
      </c>
      <c r="B18" s="63" t="s">
        <v>118</v>
      </c>
      <c r="C18" s="53"/>
      <c r="D18" s="54"/>
      <c r="E18" s="53"/>
      <c r="F18" s="54"/>
      <c r="G18" s="53"/>
      <c r="H18" s="53"/>
      <c r="I18" s="54"/>
      <c r="J18" s="53"/>
      <c r="K18" s="53"/>
      <c r="L18" s="54"/>
      <c r="M18" s="54"/>
      <c r="N18" s="54"/>
      <c r="O18" s="53"/>
      <c r="P18" s="53"/>
      <c r="Q18" s="53"/>
      <c r="R18" s="53"/>
      <c r="S18" s="54"/>
      <c r="T18" s="53"/>
      <c r="U18" s="54"/>
      <c r="V18" s="54"/>
      <c r="W18" s="42" t="str">
        <f>W3*20</f>
        <v>0</v>
      </c>
      <c r="X18" s="42"/>
      <c r="Y18" s="42"/>
      <c r="Z18" s="55"/>
      <c r="AA18" s="42"/>
      <c r="AB18" s="42"/>
      <c r="AC18" s="42" t="str">
        <f>AC3*10</f>
        <v>0</v>
      </c>
      <c r="AD18" s="42"/>
      <c r="AE18" s="42"/>
      <c r="AF18" s="55"/>
      <c r="AG18" s="55"/>
      <c r="AH18" s="42"/>
      <c r="AI18" s="20"/>
      <c r="AJ18" s="56"/>
      <c r="AK18" s="42"/>
      <c r="AL18" s="42"/>
      <c r="AM18" s="55"/>
      <c r="AN18" s="42"/>
      <c r="AO18" s="42"/>
      <c r="AP18" s="42"/>
      <c r="AQ18" s="42"/>
      <c r="AR18" s="42"/>
      <c r="AS18" s="42"/>
      <c r="AT18" s="55"/>
      <c r="AU18" s="57"/>
      <c r="AV18" s="57"/>
      <c r="AW18" s="57"/>
      <c r="AX18" s="57"/>
      <c r="AY18" s="57"/>
      <c r="AZ18" s="57"/>
      <c r="BA18" s="57"/>
      <c r="BB18" s="58"/>
      <c r="BC18" s="57"/>
      <c r="BD18" s="58"/>
      <c r="BE18" s="57"/>
      <c r="BF18" s="57"/>
      <c r="BG18" s="57"/>
      <c r="BH18" s="57"/>
      <c r="BI18" s="54"/>
      <c r="BJ18" s="53"/>
      <c r="BK18" s="53"/>
      <c r="BL18" s="59"/>
      <c r="BM18" s="59"/>
      <c r="BN18" s="59"/>
      <c r="BO18" s="59"/>
      <c r="BP18" s="60"/>
      <c r="BQ18" s="59"/>
      <c r="BR18" s="59"/>
      <c r="BS18" s="59"/>
      <c r="BT18" s="59"/>
      <c r="BU18" s="59"/>
      <c r="BV18" s="59"/>
      <c r="BW18" s="59"/>
      <c r="BX18" s="60"/>
      <c r="BY18" s="61"/>
      <c r="BZ18" s="61"/>
      <c r="CA18" s="61"/>
      <c r="CB18" s="61"/>
      <c r="CC18" s="61"/>
      <c r="CD18" s="61"/>
      <c r="CE18" s="61"/>
      <c r="CF18" s="61"/>
      <c r="CG18" s="55"/>
      <c r="CH18" s="55"/>
      <c r="CI18" s="28"/>
      <c r="CJ18" s="49"/>
      <c r="CK18" s="50" t="str">
        <f t="shared" si="1"/>
        <v>0</v>
      </c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</row>
    <row r="19">
      <c r="A19" s="51" t="s">
        <v>119</v>
      </c>
      <c r="B19" s="52" t="s">
        <v>120</v>
      </c>
      <c r="C19" s="53"/>
      <c r="D19" s="54" t="str">
        <f>30*D3</f>
        <v>90</v>
      </c>
      <c r="E19" s="53"/>
      <c r="F19" s="54"/>
      <c r="G19" s="53"/>
      <c r="H19" s="53"/>
      <c r="I19" s="54"/>
      <c r="J19" s="53"/>
      <c r="K19" s="53"/>
      <c r="L19" s="54"/>
      <c r="M19" s="54"/>
      <c r="N19" s="54"/>
      <c r="O19" s="53"/>
      <c r="P19" s="53"/>
      <c r="Q19" s="53"/>
      <c r="R19" s="53"/>
      <c r="S19" s="54"/>
      <c r="T19" s="53"/>
      <c r="U19" s="54"/>
      <c r="V19" s="54"/>
      <c r="W19" s="42"/>
      <c r="X19" s="42"/>
      <c r="Y19" s="42"/>
      <c r="Z19" s="55"/>
      <c r="AA19" s="42"/>
      <c r="AB19" s="42"/>
      <c r="AC19" s="42"/>
      <c r="AD19" s="42"/>
      <c r="AE19" s="42"/>
      <c r="AF19" s="55"/>
      <c r="AG19" s="55"/>
      <c r="AH19" s="42"/>
      <c r="AI19" s="20"/>
      <c r="AJ19" s="56"/>
      <c r="AK19" s="42"/>
      <c r="AL19" s="42"/>
      <c r="AM19" s="55"/>
      <c r="AN19" s="42"/>
      <c r="AO19" s="42"/>
      <c r="AP19" s="42"/>
      <c r="AQ19" s="42"/>
      <c r="AR19" s="42"/>
      <c r="AS19" s="42"/>
      <c r="AT19" s="55"/>
      <c r="AU19" s="57"/>
      <c r="AV19" s="57"/>
      <c r="AW19" s="57"/>
      <c r="AX19" s="57"/>
      <c r="AY19" s="57"/>
      <c r="AZ19" s="57"/>
      <c r="BA19" s="57"/>
      <c r="BB19" s="58"/>
      <c r="BC19" s="57"/>
      <c r="BD19" s="58"/>
      <c r="BE19" s="57"/>
      <c r="BF19" s="57"/>
      <c r="BG19" s="57"/>
      <c r="BH19" s="57"/>
      <c r="BI19" s="54"/>
      <c r="BJ19" s="53"/>
      <c r="BK19" s="53"/>
      <c r="BL19" s="59"/>
      <c r="BM19" s="59"/>
      <c r="BN19" s="59"/>
      <c r="BO19" s="59"/>
      <c r="BP19" s="60"/>
      <c r="BQ19" s="59"/>
      <c r="BR19" s="59"/>
      <c r="BS19" s="59"/>
      <c r="BT19" s="59"/>
      <c r="BU19" s="59"/>
      <c r="BV19" s="59"/>
      <c r="BW19" s="59"/>
      <c r="BX19" s="60"/>
      <c r="BY19" s="61"/>
      <c r="BZ19" s="61"/>
      <c r="CA19" s="61"/>
      <c r="CB19" s="61"/>
      <c r="CC19" s="61" t="str">
        <f>CC3*10</f>
        <v>0</v>
      </c>
      <c r="CD19" s="61"/>
      <c r="CE19" s="61"/>
      <c r="CF19" s="61"/>
      <c r="CG19" s="55"/>
      <c r="CH19" s="55"/>
      <c r="CI19" s="28" t="str">
        <f>CI3*108</f>
        <v>0</v>
      </c>
      <c r="CJ19" s="49"/>
      <c r="CK19" s="50" t="str">
        <f t="shared" si="1"/>
        <v>90</v>
      </c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</row>
    <row r="20">
      <c r="A20" s="62" t="s">
        <v>121</v>
      </c>
      <c r="B20" s="63" t="s">
        <v>122</v>
      </c>
      <c r="C20" s="53"/>
      <c r="D20" s="54"/>
      <c r="E20" s="53"/>
      <c r="F20" s="54"/>
      <c r="G20" s="53"/>
      <c r="H20" s="53"/>
      <c r="I20" s="54"/>
      <c r="J20" s="53"/>
      <c r="K20" s="53"/>
      <c r="L20" s="54"/>
      <c r="M20" s="54"/>
      <c r="N20" s="54"/>
      <c r="O20" s="53"/>
      <c r="P20" s="53"/>
      <c r="Q20" s="53"/>
      <c r="R20" s="53"/>
      <c r="S20" s="54"/>
      <c r="T20" s="53"/>
      <c r="U20" s="54"/>
      <c r="V20" s="54"/>
      <c r="W20" s="42"/>
      <c r="X20" s="42"/>
      <c r="Y20" s="42"/>
      <c r="Z20" s="55"/>
      <c r="AA20" s="42"/>
      <c r="AB20" s="42"/>
      <c r="AC20" s="42"/>
      <c r="AD20" s="42"/>
      <c r="AE20" s="42"/>
      <c r="AF20" s="55"/>
      <c r="AG20" s="55"/>
      <c r="AH20" s="42"/>
      <c r="AI20" s="20"/>
      <c r="AJ20" s="56"/>
      <c r="AK20" s="42"/>
      <c r="AL20" s="42"/>
      <c r="AM20" s="55"/>
      <c r="AN20" s="42"/>
      <c r="AO20" s="42"/>
      <c r="AP20" s="42"/>
      <c r="AQ20" s="42"/>
      <c r="AR20" s="42"/>
      <c r="AS20" s="42"/>
      <c r="AT20" s="55"/>
      <c r="AU20" s="57"/>
      <c r="AV20" s="57"/>
      <c r="AW20" s="57"/>
      <c r="AX20" s="57"/>
      <c r="AY20" s="57"/>
      <c r="AZ20" s="57"/>
      <c r="BA20" s="57"/>
      <c r="BB20" s="58"/>
      <c r="BC20" s="57"/>
      <c r="BD20" s="58"/>
      <c r="BE20" s="57"/>
      <c r="BF20" s="57"/>
      <c r="BG20" s="57"/>
      <c r="BH20" s="57"/>
      <c r="BI20" s="54"/>
      <c r="BJ20" s="53"/>
      <c r="BK20" s="53"/>
      <c r="BL20" s="59"/>
      <c r="BM20" s="59"/>
      <c r="BN20" s="59"/>
      <c r="BO20" s="59"/>
      <c r="BP20" s="60"/>
      <c r="BQ20" s="59"/>
      <c r="BR20" s="59" t="str">
        <f>BR3*200</f>
        <v>100</v>
      </c>
      <c r="BS20" s="59"/>
      <c r="BT20" s="59"/>
      <c r="BU20" s="59"/>
      <c r="BV20" s="59"/>
      <c r="BW20" s="59"/>
      <c r="BX20" s="60"/>
      <c r="BY20" s="61"/>
      <c r="BZ20" s="61"/>
      <c r="CA20" s="61"/>
      <c r="CB20" s="61"/>
      <c r="CC20" s="61"/>
      <c r="CD20" s="61"/>
      <c r="CE20" s="61"/>
      <c r="CF20" s="61"/>
      <c r="CG20" s="55"/>
      <c r="CH20" s="55"/>
      <c r="CI20" s="28"/>
      <c r="CJ20" s="49"/>
      <c r="CK20" s="50" t="str">
        <f t="shared" si="1"/>
        <v>100</v>
      </c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</row>
    <row r="21" ht="15.75" customHeight="1">
      <c r="A21" s="51" t="s">
        <v>123</v>
      </c>
      <c r="B21" s="52" t="s">
        <v>124</v>
      </c>
      <c r="C21" s="53"/>
      <c r="D21" s="54"/>
      <c r="E21" s="53"/>
      <c r="F21" s="54"/>
      <c r="G21" s="53"/>
      <c r="H21" s="53"/>
      <c r="I21" s="54"/>
      <c r="J21" s="53"/>
      <c r="K21" s="53"/>
      <c r="L21" s="54"/>
      <c r="M21" s="54"/>
      <c r="N21" s="54"/>
      <c r="O21" s="53"/>
      <c r="P21" s="53"/>
      <c r="Q21" s="53"/>
      <c r="R21" s="53"/>
      <c r="S21" s="54"/>
      <c r="T21" s="53"/>
      <c r="U21" s="54"/>
      <c r="V21" s="54"/>
      <c r="W21" s="42"/>
      <c r="X21" s="42"/>
      <c r="Y21" s="42"/>
      <c r="Z21" s="55"/>
      <c r="AA21" s="42"/>
      <c r="AB21" s="42"/>
      <c r="AC21" s="42"/>
      <c r="AD21" s="42"/>
      <c r="AE21" s="42"/>
      <c r="AF21" s="55"/>
      <c r="AG21" s="55"/>
      <c r="AH21" s="42"/>
      <c r="AI21" s="20"/>
      <c r="AJ21" s="56"/>
      <c r="AK21" s="42"/>
      <c r="AL21" s="42"/>
      <c r="AM21" s="55"/>
      <c r="AN21" s="42"/>
      <c r="AO21" s="42"/>
      <c r="AP21" s="42"/>
      <c r="AQ21" s="42"/>
      <c r="AR21" s="42"/>
      <c r="AS21" s="42"/>
      <c r="AT21" s="55"/>
      <c r="AU21" s="57"/>
      <c r="AV21" s="57"/>
      <c r="AW21" s="57"/>
      <c r="AX21" s="57"/>
      <c r="AY21" s="57"/>
      <c r="AZ21" s="57"/>
      <c r="BA21" s="57"/>
      <c r="BB21" s="58"/>
      <c r="BC21" s="57"/>
      <c r="BD21" s="58"/>
      <c r="BE21" s="57"/>
      <c r="BF21" s="57"/>
      <c r="BG21" s="57"/>
      <c r="BH21" s="57"/>
      <c r="BI21" s="54"/>
      <c r="BJ21" s="53"/>
      <c r="BK21" s="53"/>
      <c r="BL21" s="59"/>
      <c r="BM21" s="59"/>
      <c r="BN21" s="59"/>
      <c r="BO21" s="59"/>
      <c r="BP21" s="60"/>
      <c r="BQ21" s="59"/>
      <c r="BR21" s="59"/>
      <c r="BS21" s="59"/>
      <c r="BT21" s="59"/>
      <c r="BU21" s="59"/>
      <c r="BV21" s="59"/>
      <c r="BW21" s="59"/>
      <c r="BX21" s="60"/>
      <c r="BY21" s="61"/>
      <c r="BZ21" s="61"/>
      <c r="CA21" s="61"/>
      <c r="CB21" s="61"/>
      <c r="CC21" s="61"/>
      <c r="CD21" s="61"/>
      <c r="CE21" s="61"/>
      <c r="CF21" s="61"/>
      <c r="CG21" s="55"/>
      <c r="CH21" s="55"/>
      <c r="CI21" s="28"/>
      <c r="CJ21" s="49"/>
      <c r="CK21" s="50" t="str">
        <f t="shared" si="1"/>
        <v>0</v>
      </c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</row>
    <row r="22" ht="15.75" customHeight="1">
      <c r="A22" s="62" t="s">
        <v>125</v>
      </c>
      <c r="B22" s="63" t="s">
        <v>126</v>
      </c>
      <c r="C22" s="53"/>
      <c r="D22" s="54"/>
      <c r="E22" s="53"/>
      <c r="F22" s="54"/>
      <c r="G22" s="53"/>
      <c r="H22" s="53"/>
      <c r="I22" s="54"/>
      <c r="J22" s="53"/>
      <c r="K22" s="53"/>
      <c r="L22" s="54"/>
      <c r="M22" s="54"/>
      <c r="N22" s="54"/>
      <c r="O22" s="53"/>
      <c r="P22" s="53"/>
      <c r="Q22" s="53"/>
      <c r="R22" s="53"/>
      <c r="S22" s="54"/>
      <c r="T22" s="53"/>
      <c r="U22" s="54"/>
      <c r="V22" s="54"/>
      <c r="W22" s="42"/>
      <c r="X22" s="42"/>
      <c r="Y22" s="42"/>
      <c r="Z22" s="55"/>
      <c r="AA22" s="42"/>
      <c r="AB22" s="42"/>
      <c r="AC22" s="42"/>
      <c r="AD22" s="42"/>
      <c r="AE22" s="42"/>
      <c r="AF22" s="55"/>
      <c r="AG22" s="55"/>
      <c r="AH22" s="42"/>
      <c r="AI22" s="20"/>
      <c r="AJ22" s="56"/>
      <c r="AK22" s="42"/>
      <c r="AL22" s="42"/>
      <c r="AM22" s="55"/>
      <c r="AN22" s="42"/>
      <c r="AO22" s="42"/>
      <c r="AP22" s="42"/>
      <c r="AQ22" s="42"/>
      <c r="AR22" s="42"/>
      <c r="AS22" s="42"/>
      <c r="AT22" s="55"/>
      <c r="AU22" s="57"/>
      <c r="AV22" s="57"/>
      <c r="AW22" s="57"/>
      <c r="AX22" s="57"/>
      <c r="AY22" s="57"/>
      <c r="AZ22" s="57"/>
      <c r="BA22" s="57"/>
      <c r="BB22" s="58"/>
      <c r="BC22" s="57"/>
      <c r="BD22" s="58"/>
      <c r="BE22" s="57"/>
      <c r="BF22" s="57"/>
      <c r="BG22" s="57"/>
      <c r="BH22" s="57"/>
      <c r="BI22" s="54"/>
      <c r="BJ22" s="53"/>
      <c r="BK22" s="53"/>
      <c r="BL22" s="59"/>
      <c r="BM22" s="59"/>
      <c r="BN22" s="59"/>
      <c r="BO22" s="59"/>
      <c r="BP22" s="60"/>
      <c r="BQ22" s="59"/>
      <c r="BR22" s="59"/>
      <c r="BS22" s="59"/>
      <c r="BT22" s="59"/>
      <c r="BU22" s="59"/>
      <c r="BV22" s="59"/>
      <c r="BW22" s="59"/>
      <c r="BX22" s="60"/>
      <c r="BY22" s="61"/>
      <c r="BZ22" s="61"/>
      <c r="CA22" s="61"/>
      <c r="CB22" s="61"/>
      <c r="CC22" s="61"/>
      <c r="CD22" s="61"/>
      <c r="CE22" s="61"/>
      <c r="CF22" s="61"/>
      <c r="CG22" s="55"/>
      <c r="CH22" s="55"/>
      <c r="CI22" s="28" t="str">
        <f>CI3*92</f>
        <v>0</v>
      </c>
      <c r="CJ22" s="49"/>
      <c r="CK22" s="50" t="str">
        <f t="shared" si="1"/>
        <v>0</v>
      </c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</row>
    <row r="23" ht="15.75" customHeight="1">
      <c r="A23" s="51" t="s">
        <v>127</v>
      </c>
      <c r="B23" s="52" t="s">
        <v>128</v>
      </c>
      <c r="C23" s="53"/>
      <c r="D23" s="54"/>
      <c r="E23" s="53"/>
      <c r="F23" s="54"/>
      <c r="G23" s="53"/>
      <c r="H23" s="53"/>
      <c r="I23" s="54"/>
      <c r="J23" s="53"/>
      <c r="K23" s="53"/>
      <c r="L23" s="54"/>
      <c r="M23" s="54"/>
      <c r="N23" s="54"/>
      <c r="O23" s="53"/>
      <c r="P23" s="53"/>
      <c r="Q23" s="53"/>
      <c r="R23" s="53"/>
      <c r="S23" s="54"/>
      <c r="T23" s="53"/>
      <c r="U23" s="54"/>
      <c r="V23" s="54"/>
      <c r="W23" s="42"/>
      <c r="X23" s="42"/>
      <c r="Y23" s="42" t="str">
        <f>Y3*4.5</f>
        <v>0</v>
      </c>
      <c r="Z23" s="55" t="str">
        <f>Z3*13.5</f>
        <v>0</v>
      </c>
      <c r="AA23" s="42"/>
      <c r="AB23" s="42"/>
      <c r="AC23" s="42"/>
      <c r="AD23" s="42"/>
      <c r="AE23" s="42"/>
      <c r="AF23" s="55"/>
      <c r="AG23" s="55"/>
      <c r="AH23" s="42"/>
      <c r="AI23" s="20"/>
      <c r="AJ23" s="56" t="str">
        <f>4.4*AJ3</f>
        <v>4.4</v>
      </c>
      <c r="AK23" s="42"/>
      <c r="AL23" s="42"/>
      <c r="AM23" s="55" t="str">
        <f>AM3*4</f>
        <v>0</v>
      </c>
      <c r="AN23" s="42" t="str">
        <f>6*AN3</f>
        <v>6</v>
      </c>
      <c r="AO23" s="42"/>
      <c r="AP23" s="42" t="str">
        <f>AP3*1.3</f>
        <v>0</v>
      </c>
      <c r="AQ23" s="42"/>
      <c r="AR23" s="42"/>
      <c r="AS23" s="42"/>
      <c r="AT23" s="55"/>
      <c r="AU23" s="57"/>
      <c r="AV23" s="57"/>
      <c r="AW23" s="57"/>
      <c r="AX23" s="57"/>
      <c r="AY23" s="57"/>
      <c r="AZ23" s="57"/>
      <c r="BA23" s="57"/>
      <c r="BB23" s="58"/>
      <c r="BC23" s="57"/>
      <c r="BD23" s="58"/>
      <c r="BE23" s="57"/>
      <c r="BF23" s="57"/>
      <c r="BG23" s="57"/>
      <c r="BH23" s="57"/>
      <c r="BI23" s="54"/>
      <c r="BJ23" s="53"/>
      <c r="BK23" s="53"/>
      <c r="BL23" s="59"/>
      <c r="BM23" s="59"/>
      <c r="BN23" s="59"/>
      <c r="BO23" s="59"/>
      <c r="BP23" s="60"/>
      <c r="BQ23" s="59"/>
      <c r="BR23" s="59"/>
      <c r="BS23" s="59"/>
      <c r="BT23" s="59"/>
      <c r="BU23" s="59"/>
      <c r="BV23" s="59"/>
      <c r="BW23" s="59"/>
      <c r="BX23" s="60"/>
      <c r="BY23" s="61"/>
      <c r="BZ23" s="61"/>
      <c r="CA23" s="61"/>
      <c r="CB23" s="61"/>
      <c r="CC23" s="61"/>
      <c r="CD23" s="61"/>
      <c r="CE23" s="61"/>
      <c r="CF23" s="61"/>
      <c r="CG23" s="55"/>
      <c r="CH23" s="55"/>
      <c r="CI23" s="28"/>
      <c r="CJ23" s="49"/>
      <c r="CK23" s="50" t="str">
        <f t="shared" si="1"/>
        <v>10.4</v>
      </c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</row>
    <row r="24" ht="15.0" customHeight="1">
      <c r="A24" s="62" t="s">
        <v>129</v>
      </c>
      <c r="B24" s="64" t="s">
        <v>130</v>
      </c>
      <c r="C24" s="53"/>
      <c r="D24" s="54"/>
      <c r="E24" s="53"/>
      <c r="F24" s="54"/>
      <c r="G24" s="53"/>
      <c r="H24" s="53"/>
      <c r="I24" s="54"/>
      <c r="J24" s="53"/>
      <c r="K24" s="53"/>
      <c r="L24" s="54"/>
      <c r="M24" s="54"/>
      <c r="N24" s="54"/>
      <c r="O24" s="53"/>
      <c r="P24" s="53"/>
      <c r="Q24" s="53"/>
      <c r="R24" s="53"/>
      <c r="S24" s="54"/>
      <c r="T24" s="53"/>
      <c r="U24" s="54"/>
      <c r="V24" s="54"/>
      <c r="W24" s="42"/>
      <c r="X24" s="42"/>
      <c r="Y24" s="42"/>
      <c r="Z24" s="55"/>
      <c r="AA24" s="42" t="str">
        <f>1.25*AA3</f>
        <v>2.5</v>
      </c>
      <c r="AB24" s="42"/>
      <c r="AC24" s="42"/>
      <c r="AD24" s="42"/>
      <c r="AE24" s="42"/>
      <c r="AF24" s="55"/>
      <c r="AG24" s="55"/>
      <c r="AH24" s="42"/>
      <c r="AI24" s="20"/>
      <c r="AJ24" s="56"/>
      <c r="AK24" s="42"/>
      <c r="AL24" s="42" t="str">
        <f>AL3*1.25</f>
        <v>0</v>
      </c>
      <c r="AM24" s="55"/>
      <c r="AN24" s="42"/>
      <c r="AO24" s="42"/>
      <c r="AP24" s="42" t="str">
        <f>AP3*6.14</f>
        <v>0</v>
      </c>
      <c r="AQ24" s="42"/>
      <c r="AR24" s="42"/>
      <c r="AS24" s="42"/>
      <c r="AT24" s="55"/>
      <c r="AU24" s="57"/>
      <c r="AV24" s="57"/>
      <c r="AW24" s="57"/>
      <c r="AX24" s="57"/>
      <c r="AY24" s="57"/>
      <c r="AZ24" s="57"/>
      <c r="BA24" s="57"/>
      <c r="BB24" s="58"/>
      <c r="BC24" s="57"/>
      <c r="BD24" s="58"/>
      <c r="BE24" s="57"/>
      <c r="BF24" s="57"/>
      <c r="BG24" s="57"/>
      <c r="BH24" s="57"/>
      <c r="BI24" s="54"/>
      <c r="BJ24" s="53"/>
      <c r="BK24" s="53"/>
      <c r="BL24" s="59"/>
      <c r="BM24" s="59"/>
      <c r="BN24" s="59"/>
      <c r="BO24" s="59"/>
      <c r="BP24" s="60"/>
      <c r="BQ24" s="59"/>
      <c r="BR24" s="59"/>
      <c r="BS24" s="59"/>
      <c r="BT24" s="59"/>
      <c r="BU24" s="59"/>
      <c r="BV24" s="59"/>
      <c r="BW24" s="59"/>
      <c r="BX24" s="60"/>
      <c r="BY24" s="61" t="str">
        <f>BY3*12</f>
        <v>6</v>
      </c>
      <c r="BZ24" s="61" t="str">
        <f>BZ3*10</f>
        <v>0</v>
      </c>
      <c r="CA24" s="61"/>
      <c r="CB24" s="61"/>
      <c r="CC24" s="61" t="str">
        <f>CC3*3</f>
        <v>0</v>
      </c>
      <c r="CD24" s="61" t="str">
        <f>CD3*2</f>
        <v>0</v>
      </c>
      <c r="CE24" s="61"/>
      <c r="CF24" s="61"/>
      <c r="CG24" s="55"/>
      <c r="CH24" s="55"/>
      <c r="CI24" s="28"/>
      <c r="CJ24" s="49"/>
      <c r="CK24" s="50" t="str">
        <f t="shared" si="1"/>
        <v>8.5</v>
      </c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</row>
    <row r="25" ht="15.75" customHeight="1">
      <c r="A25" s="51" t="s">
        <v>131</v>
      </c>
      <c r="B25" s="52" t="s">
        <v>132</v>
      </c>
      <c r="C25" s="53"/>
      <c r="D25" s="54"/>
      <c r="E25" s="53"/>
      <c r="F25" s="54"/>
      <c r="G25" s="53"/>
      <c r="H25" s="53"/>
      <c r="I25" s="54"/>
      <c r="J25" s="53"/>
      <c r="K25" s="53"/>
      <c r="L25" s="54"/>
      <c r="M25" s="54"/>
      <c r="N25" s="54"/>
      <c r="O25" s="53"/>
      <c r="P25" s="53"/>
      <c r="Q25" s="53"/>
      <c r="R25" s="53"/>
      <c r="S25" s="54"/>
      <c r="T25" s="53"/>
      <c r="U25" s="54"/>
      <c r="V25" s="54"/>
      <c r="W25" s="42"/>
      <c r="X25" s="42"/>
      <c r="Y25" s="42"/>
      <c r="Z25" s="55"/>
      <c r="AA25" s="42"/>
      <c r="AB25" s="42"/>
      <c r="AC25" s="42"/>
      <c r="AD25" s="42"/>
      <c r="AE25" s="42"/>
      <c r="AF25" s="55"/>
      <c r="AG25" s="55"/>
      <c r="AH25" s="42"/>
      <c r="AI25" s="20"/>
      <c r="AJ25" s="56"/>
      <c r="AK25" s="42"/>
      <c r="AL25" s="42"/>
      <c r="AM25" s="55"/>
      <c r="AN25" s="42"/>
      <c r="AO25" s="42"/>
      <c r="AP25" s="42"/>
      <c r="AQ25" s="42"/>
      <c r="AR25" s="42"/>
      <c r="AS25" s="42"/>
      <c r="AT25" s="55"/>
      <c r="AU25" s="57"/>
      <c r="AV25" s="57"/>
      <c r="AW25" s="57"/>
      <c r="AX25" s="57"/>
      <c r="AY25" s="57"/>
      <c r="AZ25" s="57"/>
      <c r="BA25" s="57"/>
      <c r="BB25" s="58"/>
      <c r="BC25" s="57"/>
      <c r="BD25" s="58"/>
      <c r="BE25" s="57"/>
      <c r="BF25" s="57"/>
      <c r="BG25" s="57"/>
      <c r="BH25" s="57"/>
      <c r="BI25" s="54"/>
      <c r="BJ25" s="53"/>
      <c r="BK25" s="53"/>
      <c r="BL25" s="59"/>
      <c r="BM25" s="59"/>
      <c r="BN25" s="59"/>
      <c r="BO25" s="59"/>
      <c r="BP25" s="60"/>
      <c r="BQ25" s="59"/>
      <c r="BR25" s="59"/>
      <c r="BS25" s="59"/>
      <c r="BT25" s="59"/>
      <c r="BU25" s="59"/>
      <c r="BV25" s="59"/>
      <c r="BW25" s="59"/>
      <c r="BX25" s="60"/>
      <c r="BY25" s="61"/>
      <c r="BZ25" s="61"/>
      <c r="CA25" s="61"/>
      <c r="CB25" s="61"/>
      <c r="CC25" s="61"/>
      <c r="CD25" s="61"/>
      <c r="CE25" s="61"/>
      <c r="CF25" s="61"/>
      <c r="CG25" s="55"/>
      <c r="CH25" s="55"/>
      <c r="CI25" s="28"/>
      <c r="CJ25" s="49"/>
      <c r="CK25" s="50" t="str">
        <f t="shared" si="1"/>
        <v>0</v>
      </c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</row>
    <row r="26" ht="15.75" customHeight="1">
      <c r="A26" s="62" t="s">
        <v>133</v>
      </c>
      <c r="B26" s="63" t="s">
        <v>134</v>
      </c>
      <c r="C26" s="53"/>
      <c r="D26" s="54"/>
      <c r="E26" s="53"/>
      <c r="F26" s="54"/>
      <c r="G26" s="53"/>
      <c r="H26" s="53"/>
      <c r="I26" s="54"/>
      <c r="J26" s="53"/>
      <c r="K26" s="53"/>
      <c r="L26" s="54"/>
      <c r="M26" s="54"/>
      <c r="N26" s="54"/>
      <c r="O26" s="53"/>
      <c r="P26" s="53"/>
      <c r="Q26" s="53"/>
      <c r="R26" s="53"/>
      <c r="S26" s="54"/>
      <c r="T26" s="53"/>
      <c r="U26" s="54"/>
      <c r="V26" s="54"/>
      <c r="W26" s="42"/>
      <c r="X26" s="42"/>
      <c r="Y26" s="42"/>
      <c r="Z26" s="55"/>
      <c r="AA26" s="42"/>
      <c r="AB26" s="42"/>
      <c r="AC26" s="42"/>
      <c r="AD26" s="42"/>
      <c r="AE26" s="42"/>
      <c r="AF26" s="55"/>
      <c r="AG26" s="55" t="str">
        <f>AG3*40</f>
        <v>40</v>
      </c>
      <c r="AH26" s="42"/>
      <c r="AI26" s="20"/>
      <c r="AJ26" s="56"/>
      <c r="AK26" s="42"/>
      <c r="AL26" s="42"/>
      <c r="AM26" s="55"/>
      <c r="AN26" s="42"/>
      <c r="AO26" s="42" t="str">
        <f>AO3*40</f>
        <v>0</v>
      </c>
      <c r="AP26" s="42"/>
      <c r="AQ26" s="42"/>
      <c r="AR26" s="42" t="str">
        <f>AR3*40</f>
        <v>0</v>
      </c>
      <c r="AS26" s="42"/>
      <c r="AT26" s="55"/>
      <c r="AU26" s="57"/>
      <c r="AV26" s="57"/>
      <c r="AW26" s="57"/>
      <c r="AX26" s="57"/>
      <c r="AY26" s="57"/>
      <c r="AZ26" s="57"/>
      <c r="BA26" s="57"/>
      <c r="BB26" s="58"/>
      <c r="BC26" s="57"/>
      <c r="BD26" s="58"/>
      <c r="BE26" s="57"/>
      <c r="BF26" s="57"/>
      <c r="BG26" s="57"/>
      <c r="BH26" s="57"/>
      <c r="BI26" s="54"/>
      <c r="BJ26" s="53"/>
      <c r="BK26" s="53"/>
      <c r="BL26" s="59"/>
      <c r="BM26" s="59"/>
      <c r="BN26" s="59"/>
      <c r="BO26" s="59"/>
      <c r="BP26" s="60"/>
      <c r="BQ26" s="59"/>
      <c r="BR26" s="59"/>
      <c r="BS26" s="59"/>
      <c r="BT26" s="59"/>
      <c r="BU26" s="59"/>
      <c r="BV26" s="59"/>
      <c r="BW26" s="59"/>
      <c r="BX26" s="60"/>
      <c r="BY26" s="61"/>
      <c r="BZ26" s="61"/>
      <c r="CA26" s="61"/>
      <c r="CB26" s="61"/>
      <c r="CC26" s="61"/>
      <c r="CD26" s="61"/>
      <c r="CE26" s="61"/>
      <c r="CF26" s="61"/>
      <c r="CG26" s="55"/>
      <c r="CH26" s="55"/>
      <c r="CI26" s="28"/>
      <c r="CJ26" s="49"/>
      <c r="CK26" s="50" t="str">
        <f t="shared" si="1"/>
        <v>40</v>
      </c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</row>
    <row r="27" ht="15.75" customHeight="1">
      <c r="A27" s="51" t="s">
        <v>135</v>
      </c>
      <c r="B27" s="52" t="s">
        <v>136</v>
      </c>
      <c r="C27" s="53"/>
      <c r="D27" s="54"/>
      <c r="E27" s="53"/>
      <c r="F27" s="54"/>
      <c r="G27" s="53" t="str">
        <f>G3*10</f>
        <v>10</v>
      </c>
      <c r="H27" s="53"/>
      <c r="I27" s="54"/>
      <c r="J27" s="53"/>
      <c r="K27" s="53"/>
      <c r="L27" s="54"/>
      <c r="M27" s="54"/>
      <c r="N27" s="54"/>
      <c r="O27" s="53"/>
      <c r="P27" s="53"/>
      <c r="Q27" s="53"/>
      <c r="R27" s="53"/>
      <c r="S27" s="54"/>
      <c r="T27" s="53"/>
      <c r="U27" s="54"/>
      <c r="V27" s="54"/>
      <c r="W27" s="42"/>
      <c r="X27" s="42"/>
      <c r="Y27" s="42"/>
      <c r="Z27" s="55"/>
      <c r="AA27" s="42"/>
      <c r="AB27" s="42" t="str">
        <f>AB3*10</f>
        <v>0</v>
      </c>
      <c r="AC27" s="42"/>
      <c r="AD27" s="42"/>
      <c r="AE27" s="42"/>
      <c r="AF27" s="55"/>
      <c r="AG27" s="55"/>
      <c r="AH27" s="42"/>
      <c r="AI27" s="20"/>
      <c r="AJ27" s="56"/>
      <c r="AK27" s="42"/>
      <c r="AL27" s="42"/>
      <c r="AM27" s="55"/>
      <c r="AN27" s="42"/>
      <c r="AO27" s="42"/>
      <c r="AP27" s="42"/>
      <c r="AQ27" s="42"/>
      <c r="AR27" s="42"/>
      <c r="AS27" s="42"/>
      <c r="AT27" s="55"/>
      <c r="AU27" s="57"/>
      <c r="AV27" s="57"/>
      <c r="AW27" s="57"/>
      <c r="AX27" s="57"/>
      <c r="AY27" s="57"/>
      <c r="AZ27" s="57"/>
      <c r="BA27" s="57"/>
      <c r="BB27" s="58"/>
      <c r="BC27" s="57"/>
      <c r="BD27" s="58"/>
      <c r="BE27" s="57"/>
      <c r="BF27" s="57"/>
      <c r="BG27" s="57"/>
      <c r="BH27" s="57"/>
      <c r="BI27" s="54"/>
      <c r="BJ27" s="53"/>
      <c r="BK27" s="53"/>
      <c r="BL27" s="59"/>
      <c r="BM27" s="59"/>
      <c r="BN27" s="59"/>
      <c r="BO27" s="59"/>
      <c r="BP27" s="60"/>
      <c r="BQ27" s="59"/>
      <c r="BR27" s="59"/>
      <c r="BS27" s="59"/>
      <c r="BT27" s="59"/>
      <c r="BU27" s="59"/>
      <c r="BV27" s="59"/>
      <c r="BW27" s="59"/>
      <c r="BX27" s="60"/>
      <c r="BY27" s="61"/>
      <c r="BZ27" s="61"/>
      <c r="CA27" s="61"/>
      <c r="CB27" s="61"/>
      <c r="CC27" s="61"/>
      <c r="CD27" s="61"/>
      <c r="CE27" s="61"/>
      <c r="CF27" s="61"/>
      <c r="CG27" s="55" t="str">
        <f>CG3*40</f>
        <v>40</v>
      </c>
      <c r="CH27" s="55"/>
      <c r="CI27" s="28"/>
      <c r="CJ27" s="49"/>
      <c r="CK27" s="50" t="str">
        <f t="shared" si="1"/>
        <v>50</v>
      </c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</row>
    <row r="28" ht="15.75" customHeight="1">
      <c r="A28" s="62" t="s">
        <v>137</v>
      </c>
      <c r="B28" s="63" t="s">
        <v>138</v>
      </c>
      <c r="C28" s="53"/>
      <c r="D28" s="54"/>
      <c r="E28" s="53"/>
      <c r="F28" s="54"/>
      <c r="G28" s="53"/>
      <c r="H28" s="53"/>
      <c r="I28" s="54" t="str">
        <f>80*I3</f>
        <v>320</v>
      </c>
      <c r="J28" s="53"/>
      <c r="K28" s="53" t="str">
        <f>K3*(10*2)</f>
        <v>10</v>
      </c>
      <c r="L28" s="54"/>
      <c r="M28" s="54"/>
      <c r="N28" s="54"/>
      <c r="O28" s="53"/>
      <c r="P28" s="53"/>
      <c r="Q28" s="53"/>
      <c r="R28" s="53"/>
      <c r="S28" s="54"/>
      <c r="T28" s="53"/>
      <c r="U28" s="54"/>
      <c r="V28" s="54"/>
      <c r="W28" s="42"/>
      <c r="X28" s="42"/>
      <c r="Y28" s="42"/>
      <c r="Z28" s="55"/>
      <c r="AA28" s="42"/>
      <c r="AB28" s="42"/>
      <c r="AC28" s="42"/>
      <c r="AD28" s="42"/>
      <c r="AE28" s="42"/>
      <c r="AF28" s="55"/>
      <c r="AG28" s="55"/>
      <c r="AH28" s="42"/>
      <c r="AI28" s="20"/>
      <c r="AJ28" s="56"/>
      <c r="AK28" s="42"/>
      <c r="AL28" s="42"/>
      <c r="AM28" s="55"/>
      <c r="AN28" s="42"/>
      <c r="AO28" s="42"/>
      <c r="AP28" s="42"/>
      <c r="AQ28" s="42"/>
      <c r="AR28" s="42"/>
      <c r="AS28" s="42"/>
      <c r="AT28" s="55"/>
      <c r="AU28" s="57"/>
      <c r="AV28" s="57"/>
      <c r="AW28" s="57"/>
      <c r="AX28" s="57"/>
      <c r="AY28" s="57"/>
      <c r="AZ28" s="57"/>
      <c r="BA28" s="57"/>
      <c r="BB28" s="58"/>
      <c r="BC28" s="57"/>
      <c r="BD28" s="58"/>
      <c r="BE28" s="57"/>
      <c r="BF28" s="57"/>
      <c r="BG28" s="57"/>
      <c r="BH28" s="57"/>
      <c r="BI28" s="54"/>
      <c r="BJ28" s="53"/>
      <c r="BK28" s="53"/>
      <c r="BL28" s="59"/>
      <c r="BM28" s="59"/>
      <c r="BN28" s="59"/>
      <c r="BO28" s="59"/>
      <c r="BP28" s="60" t="str">
        <f>20*BP3</f>
        <v>10</v>
      </c>
      <c r="BQ28" s="59" t="str">
        <f>BQ3*80</f>
        <v>0</v>
      </c>
      <c r="BR28" s="59" t="str">
        <f>BR3*40</f>
        <v>20</v>
      </c>
      <c r="BS28" s="59"/>
      <c r="BT28" s="59"/>
      <c r="BU28" s="59"/>
      <c r="BV28" s="59"/>
      <c r="BW28" s="59"/>
      <c r="BX28" s="60"/>
      <c r="BY28" s="61"/>
      <c r="BZ28" s="61"/>
      <c r="CA28" s="61"/>
      <c r="CB28" s="61"/>
      <c r="CC28" s="61"/>
      <c r="CD28" s="61"/>
      <c r="CE28" s="61"/>
      <c r="CF28" s="61"/>
      <c r="CG28" s="55"/>
      <c r="CH28" s="55"/>
      <c r="CI28" s="28"/>
      <c r="CJ28" s="49"/>
      <c r="CK28" s="50" t="str">
        <f t="shared" si="1"/>
        <v>360</v>
      </c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</row>
    <row r="29" ht="15.75" customHeight="1">
      <c r="A29" s="51" t="s">
        <v>139</v>
      </c>
      <c r="B29" s="52" t="s">
        <v>140</v>
      </c>
      <c r="C29" s="53"/>
      <c r="D29" s="54"/>
      <c r="E29" s="53"/>
      <c r="F29" s="54"/>
      <c r="G29" s="53"/>
      <c r="H29" s="53"/>
      <c r="I29" s="54"/>
      <c r="J29" s="53"/>
      <c r="K29" s="53"/>
      <c r="L29" s="54"/>
      <c r="M29" s="54"/>
      <c r="N29" s="54"/>
      <c r="O29" s="53"/>
      <c r="P29" s="53"/>
      <c r="Q29" s="53"/>
      <c r="R29" s="53"/>
      <c r="S29" s="54"/>
      <c r="T29" s="53"/>
      <c r="U29" s="54"/>
      <c r="V29" s="54"/>
      <c r="W29" s="42"/>
      <c r="X29" s="42"/>
      <c r="Y29" s="42"/>
      <c r="Z29" s="55"/>
      <c r="AA29" s="42"/>
      <c r="AB29" s="42"/>
      <c r="AC29" s="42"/>
      <c r="AD29" s="42"/>
      <c r="AE29" s="42"/>
      <c r="AF29" s="55"/>
      <c r="AG29" s="55"/>
      <c r="AH29" s="42"/>
      <c r="AI29" s="20"/>
      <c r="AJ29" s="56"/>
      <c r="AK29" s="42"/>
      <c r="AL29" s="42"/>
      <c r="AM29" s="55"/>
      <c r="AN29" s="42"/>
      <c r="AO29" s="42"/>
      <c r="AP29" s="42"/>
      <c r="AQ29" s="42"/>
      <c r="AR29" s="42"/>
      <c r="AS29" s="42"/>
      <c r="AT29" s="55"/>
      <c r="AU29" s="57"/>
      <c r="AV29" s="57"/>
      <c r="AW29" s="57"/>
      <c r="AX29" s="57"/>
      <c r="AY29" s="57"/>
      <c r="AZ29" s="57"/>
      <c r="BA29" s="57"/>
      <c r="BB29" s="58"/>
      <c r="BC29" s="57"/>
      <c r="BD29" s="58"/>
      <c r="BE29" s="57"/>
      <c r="BF29" s="57"/>
      <c r="BG29" s="57"/>
      <c r="BH29" s="57"/>
      <c r="BI29" s="54"/>
      <c r="BJ29" s="53"/>
      <c r="BK29" s="53"/>
      <c r="BL29" s="59"/>
      <c r="BM29" s="59"/>
      <c r="BN29" s="59"/>
      <c r="BO29" s="59"/>
      <c r="BP29" s="60"/>
      <c r="BQ29" s="59"/>
      <c r="BR29" s="59"/>
      <c r="BS29" s="59"/>
      <c r="BT29" s="59"/>
      <c r="BU29" s="59"/>
      <c r="BV29" s="59"/>
      <c r="BW29" s="59"/>
      <c r="BX29" s="60"/>
      <c r="BY29" s="61"/>
      <c r="BZ29" s="61"/>
      <c r="CA29" s="61"/>
      <c r="CB29" s="61"/>
      <c r="CC29" s="61"/>
      <c r="CD29" s="61"/>
      <c r="CE29" s="61"/>
      <c r="CF29" s="61"/>
      <c r="CG29" s="55"/>
      <c r="CH29" s="55"/>
      <c r="CI29" s="28"/>
      <c r="CJ29" s="49"/>
      <c r="CK29" s="50" t="str">
        <f t="shared" si="1"/>
        <v>0</v>
      </c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</row>
    <row r="30" ht="15.75" customHeight="1">
      <c r="A30" s="62" t="s">
        <v>141</v>
      </c>
      <c r="B30" s="63" t="s">
        <v>142</v>
      </c>
      <c r="C30" s="53"/>
      <c r="D30" s="54"/>
      <c r="E30" s="53"/>
      <c r="F30" s="54"/>
      <c r="G30" s="53"/>
      <c r="H30" s="53" t="str">
        <f>H3*46</f>
        <v>46</v>
      </c>
      <c r="I30" s="54"/>
      <c r="J30" s="53"/>
      <c r="K30" s="53"/>
      <c r="L30" s="54"/>
      <c r="M30" s="54"/>
      <c r="N30" s="54"/>
      <c r="O30" s="53"/>
      <c r="P30" s="53"/>
      <c r="Q30" s="53"/>
      <c r="R30" s="53"/>
      <c r="S30" s="54"/>
      <c r="T30" s="53"/>
      <c r="U30" s="54"/>
      <c r="V30" s="54"/>
      <c r="W30" s="42"/>
      <c r="X30" s="42"/>
      <c r="Y30" s="42"/>
      <c r="Z30" s="55"/>
      <c r="AA30" s="42"/>
      <c r="AB30" s="42"/>
      <c r="AC30" s="42"/>
      <c r="AD30" s="42"/>
      <c r="AE30" s="42"/>
      <c r="AF30" s="55"/>
      <c r="AG30" s="55"/>
      <c r="AH30" s="42"/>
      <c r="AI30" s="20"/>
      <c r="AJ30" s="56"/>
      <c r="AK30" s="42"/>
      <c r="AL30" s="42"/>
      <c r="AM30" s="55"/>
      <c r="AN30" s="42"/>
      <c r="AO30" s="42"/>
      <c r="AP30" s="42"/>
      <c r="AQ30" s="42"/>
      <c r="AR30" s="42"/>
      <c r="AS30" s="42"/>
      <c r="AT30" s="55"/>
      <c r="AU30" s="57"/>
      <c r="AV30" s="57"/>
      <c r="AW30" s="57"/>
      <c r="AX30" s="57"/>
      <c r="AY30" s="57"/>
      <c r="AZ30" s="57"/>
      <c r="BA30" s="57"/>
      <c r="BB30" s="58"/>
      <c r="BC30" s="57"/>
      <c r="BD30" s="58"/>
      <c r="BE30" s="57"/>
      <c r="BF30" s="57"/>
      <c r="BG30" s="57"/>
      <c r="BH30" s="57"/>
      <c r="BI30" s="54"/>
      <c r="BJ30" s="53"/>
      <c r="BK30" s="53"/>
      <c r="BL30" s="59"/>
      <c r="BM30" s="59"/>
      <c r="BN30" s="59"/>
      <c r="BO30" s="59"/>
      <c r="BP30" s="60"/>
      <c r="BQ30" s="59"/>
      <c r="BR30" s="59"/>
      <c r="BS30" s="59"/>
      <c r="BT30" s="59"/>
      <c r="BU30" s="59"/>
      <c r="BV30" s="59"/>
      <c r="BW30" s="59"/>
      <c r="BX30" s="60"/>
      <c r="BY30" s="61"/>
      <c r="BZ30" s="61"/>
      <c r="CA30" s="61"/>
      <c r="CB30" s="61"/>
      <c r="CC30" s="61"/>
      <c r="CD30" s="61"/>
      <c r="CE30" s="61"/>
      <c r="CF30" s="61"/>
      <c r="CG30" s="55"/>
      <c r="CH30" s="55"/>
      <c r="CI30" s="28"/>
      <c r="CJ30" s="49"/>
      <c r="CK30" s="50" t="str">
        <f t="shared" si="1"/>
        <v>46</v>
      </c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</row>
    <row r="31" ht="15.75" customHeight="1">
      <c r="A31" s="51" t="s">
        <v>143</v>
      </c>
      <c r="B31" s="52" t="s">
        <v>144</v>
      </c>
      <c r="C31" s="53"/>
      <c r="D31" s="54"/>
      <c r="E31" s="53"/>
      <c r="F31" s="54"/>
      <c r="G31" s="53"/>
      <c r="H31" s="53"/>
      <c r="I31" s="54"/>
      <c r="J31" s="53"/>
      <c r="K31" s="53"/>
      <c r="L31" s="54"/>
      <c r="M31" s="54"/>
      <c r="N31" s="54"/>
      <c r="O31" s="53"/>
      <c r="P31" s="53"/>
      <c r="Q31" s="53"/>
      <c r="R31" s="53"/>
      <c r="S31" s="54"/>
      <c r="T31" s="53"/>
      <c r="U31" s="54"/>
      <c r="V31" s="54"/>
      <c r="W31" s="42"/>
      <c r="X31" s="42"/>
      <c r="Y31" s="42"/>
      <c r="Z31" s="55"/>
      <c r="AA31" s="42"/>
      <c r="AB31" s="42"/>
      <c r="AC31" s="42"/>
      <c r="AD31" s="42"/>
      <c r="AE31" s="42"/>
      <c r="AF31" s="55"/>
      <c r="AG31" s="55"/>
      <c r="AH31" s="42"/>
      <c r="AI31" s="20"/>
      <c r="AJ31" s="56"/>
      <c r="AK31" s="42"/>
      <c r="AL31" s="42"/>
      <c r="AM31" s="55"/>
      <c r="AN31" s="42"/>
      <c r="AO31" s="42"/>
      <c r="AP31" s="42"/>
      <c r="AQ31" s="42"/>
      <c r="AR31" s="42"/>
      <c r="AS31" s="42"/>
      <c r="AT31" s="55"/>
      <c r="AU31" s="57"/>
      <c r="AV31" s="57"/>
      <c r="AW31" s="57"/>
      <c r="AX31" s="57"/>
      <c r="AY31" s="57"/>
      <c r="AZ31" s="57"/>
      <c r="BA31" s="57"/>
      <c r="BB31" s="58"/>
      <c r="BC31" s="57"/>
      <c r="BD31" s="58"/>
      <c r="BE31" s="57"/>
      <c r="BF31" s="57"/>
      <c r="BG31" s="57"/>
      <c r="BH31" s="57"/>
      <c r="BI31" s="54"/>
      <c r="BJ31" s="53"/>
      <c r="BK31" s="53"/>
      <c r="BL31" s="59"/>
      <c r="BM31" s="59"/>
      <c r="BN31" s="59"/>
      <c r="BO31" s="59"/>
      <c r="BP31" s="60"/>
      <c r="BQ31" s="59"/>
      <c r="BR31" s="59"/>
      <c r="BS31" s="59"/>
      <c r="BT31" s="59"/>
      <c r="BU31" s="59"/>
      <c r="BV31" s="59"/>
      <c r="BW31" s="59"/>
      <c r="BX31" s="60"/>
      <c r="BY31" s="61"/>
      <c r="BZ31" s="61"/>
      <c r="CA31" s="61"/>
      <c r="CB31" s="61"/>
      <c r="CC31" s="61"/>
      <c r="CD31" s="61"/>
      <c r="CE31" s="61"/>
      <c r="CF31" s="61"/>
      <c r="CG31" s="55"/>
      <c r="CH31" s="55"/>
      <c r="CI31" s="28"/>
      <c r="CJ31" s="49"/>
      <c r="CK31" s="50" t="str">
        <f t="shared" si="1"/>
        <v>0</v>
      </c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</row>
    <row r="32" ht="15.75" customHeight="1">
      <c r="A32" s="62" t="s">
        <v>145</v>
      </c>
      <c r="B32" s="63" t="s">
        <v>146</v>
      </c>
      <c r="C32" s="53"/>
      <c r="D32" s="54"/>
      <c r="E32" s="53"/>
      <c r="F32" s="54"/>
      <c r="G32" s="53"/>
      <c r="H32" s="53"/>
      <c r="I32" s="54"/>
      <c r="J32" s="53"/>
      <c r="K32" s="53"/>
      <c r="L32" s="54"/>
      <c r="M32" s="54"/>
      <c r="N32" s="54"/>
      <c r="O32" s="53"/>
      <c r="P32" s="53"/>
      <c r="Q32" s="53"/>
      <c r="R32" s="53"/>
      <c r="S32" s="54"/>
      <c r="T32" s="53"/>
      <c r="U32" s="54"/>
      <c r="V32" s="54"/>
      <c r="W32" s="42" t="str">
        <f>W3*40</f>
        <v>0</v>
      </c>
      <c r="X32" s="42"/>
      <c r="Y32" s="42"/>
      <c r="Z32" s="55"/>
      <c r="AA32" s="42"/>
      <c r="AB32" s="42"/>
      <c r="AC32" s="42"/>
      <c r="AD32" s="42"/>
      <c r="AE32" s="42"/>
      <c r="AF32" s="55"/>
      <c r="AG32" s="55"/>
      <c r="AH32" s="42"/>
      <c r="AI32" s="20"/>
      <c r="AJ32" s="56"/>
      <c r="AK32" s="42"/>
      <c r="AL32" s="42"/>
      <c r="AM32" s="55"/>
      <c r="AN32" s="42"/>
      <c r="AO32" s="42"/>
      <c r="AP32" s="42"/>
      <c r="AQ32" s="42"/>
      <c r="AR32" s="42"/>
      <c r="AS32" s="42"/>
      <c r="AT32" s="55"/>
      <c r="AU32" s="57"/>
      <c r="AV32" s="57"/>
      <c r="AW32" s="57"/>
      <c r="AX32" s="57"/>
      <c r="AY32" s="57"/>
      <c r="AZ32" s="57"/>
      <c r="BA32" s="57"/>
      <c r="BB32" s="58"/>
      <c r="BC32" s="57"/>
      <c r="BD32" s="58"/>
      <c r="BE32" s="57"/>
      <c r="BF32" s="57"/>
      <c r="BG32" s="57"/>
      <c r="BH32" s="57"/>
      <c r="BI32" s="54"/>
      <c r="BJ32" s="53"/>
      <c r="BK32" s="53"/>
      <c r="BL32" s="59"/>
      <c r="BM32" s="59"/>
      <c r="BN32" s="59"/>
      <c r="BO32" s="59"/>
      <c r="BP32" s="60"/>
      <c r="BQ32" s="59"/>
      <c r="BR32" s="59"/>
      <c r="BS32" s="59"/>
      <c r="BT32" s="59"/>
      <c r="BU32" s="59"/>
      <c r="BV32" s="59" t="str">
        <f>BV3*2</f>
        <v>2</v>
      </c>
      <c r="BW32" s="59"/>
      <c r="BX32" s="60"/>
      <c r="BY32" s="61"/>
      <c r="BZ32" s="61"/>
      <c r="CA32" s="61"/>
      <c r="CB32" s="61"/>
      <c r="CC32" s="61"/>
      <c r="CD32" s="61"/>
      <c r="CE32" s="61"/>
      <c r="CF32" s="61"/>
      <c r="CG32" s="55"/>
      <c r="CH32" s="55"/>
      <c r="CI32" s="28"/>
      <c r="CJ32" s="49"/>
      <c r="CK32" s="50" t="str">
        <f t="shared" si="1"/>
        <v>2</v>
      </c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</row>
    <row r="33" ht="15.75" customHeight="1">
      <c r="A33" s="51" t="s">
        <v>147</v>
      </c>
      <c r="B33" s="52" t="s">
        <v>148</v>
      </c>
      <c r="C33" s="53"/>
      <c r="D33" s="54" t="str">
        <f>1.2*D3</f>
        <v>3.6</v>
      </c>
      <c r="E33" s="53" t="str">
        <f>E3*2</f>
        <v>10</v>
      </c>
      <c r="F33" s="54"/>
      <c r="G33" s="53"/>
      <c r="H33" s="53"/>
      <c r="I33" s="54"/>
      <c r="J33" s="53" t="str">
        <f>58*J3</f>
        <v>0</v>
      </c>
      <c r="K33" s="53"/>
      <c r="L33" s="54"/>
      <c r="M33" s="54"/>
      <c r="N33" s="54"/>
      <c r="O33" s="53"/>
      <c r="P33" s="53"/>
      <c r="Q33" s="53"/>
      <c r="R33" s="53" t="str">
        <f>R3*100</f>
        <v>0</v>
      </c>
      <c r="S33" s="54"/>
      <c r="T33" s="53"/>
      <c r="U33" s="54" t="str">
        <f>2*U3</f>
        <v>0</v>
      </c>
      <c r="V33" s="54" t="str">
        <f>V3*2</f>
        <v>2</v>
      </c>
      <c r="W33" s="42"/>
      <c r="X33" s="42"/>
      <c r="Y33" s="42" t="str">
        <f>Y3*7.5</f>
        <v>0</v>
      </c>
      <c r="Z33" s="55"/>
      <c r="AA33" s="42"/>
      <c r="AB33" s="42"/>
      <c r="AC33" s="42"/>
      <c r="AD33" s="42"/>
      <c r="AE33" s="42"/>
      <c r="AF33" s="55"/>
      <c r="AG33" s="55"/>
      <c r="AH33" s="42" t="str">
        <f>AH3*300</f>
        <v>0</v>
      </c>
      <c r="AI33" s="20"/>
      <c r="AJ33" s="56"/>
      <c r="AK33" s="42"/>
      <c r="AL33" s="42"/>
      <c r="AM33" s="55"/>
      <c r="AN33" s="42"/>
      <c r="AO33" s="42" t="str">
        <f>AO3*65.6</f>
        <v>0</v>
      </c>
      <c r="AP33" s="42"/>
      <c r="AQ33" s="42"/>
      <c r="AR33" s="42"/>
      <c r="AS33" s="42"/>
      <c r="AT33" s="55"/>
      <c r="AU33" s="57" t="str">
        <f t="shared" ref="AU33:AV33" si="5">AU3*1.6</f>
        <v>1.6</v>
      </c>
      <c r="AV33" s="57" t="str">
        <f t="shared" si="5"/>
        <v>0</v>
      </c>
      <c r="AW33" s="57" t="str">
        <f t="shared" ref="AW33:AX33" si="6">AW3*2</f>
        <v>0</v>
      </c>
      <c r="AX33" s="57" t="str">
        <f t="shared" si="6"/>
        <v>0</v>
      </c>
      <c r="AY33" s="57" t="str">
        <f>AY3*1.6</f>
        <v>0.8</v>
      </c>
      <c r="AZ33" s="57" t="str">
        <f t="shared" ref="AZ33:BA33" si="7">AZ3*2</f>
        <v>2</v>
      </c>
      <c r="BA33" s="57" t="str">
        <f t="shared" si="7"/>
        <v>0</v>
      </c>
      <c r="BB33" s="58" t="str">
        <f>BB3*1.6</f>
        <v>0</v>
      </c>
      <c r="BC33" s="57" t="str">
        <f>2*BC3</f>
        <v>0</v>
      </c>
      <c r="BD33" s="58"/>
      <c r="BE33" s="57" t="str">
        <f>BE3*1.6</f>
        <v>0</v>
      </c>
      <c r="BF33" s="57" t="str">
        <f>BF3*2</f>
        <v>0</v>
      </c>
      <c r="BG33" s="57" t="str">
        <f t="shared" ref="BG33:BH33" si="8">BG3*1.6</f>
        <v>0</v>
      </c>
      <c r="BH33" s="57" t="str">
        <f t="shared" si="8"/>
        <v>0</v>
      </c>
      <c r="BI33" s="54"/>
      <c r="BJ33" s="53"/>
      <c r="BK33" s="53"/>
      <c r="BL33" s="59" t="str">
        <f>BL3*80</f>
        <v>0</v>
      </c>
      <c r="BM33" s="59" t="str">
        <f>BM3*320</f>
        <v>0</v>
      </c>
      <c r="BN33" s="59" t="str">
        <f>BN3*6.5</f>
        <v>0</v>
      </c>
      <c r="BO33" s="59" t="str">
        <f>BO3*26</f>
        <v>0</v>
      </c>
      <c r="BP33" s="60"/>
      <c r="BQ33" s="59"/>
      <c r="BR33" s="59"/>
      <c r="BS33" s="59"/>
      <c r="BT33" s="59"/>
      <c r="BU33" s="59"/>
      <c r="BV33" s="59"/>
      <c r="BW33" s="59"/>
      <c r="BX33" s="60"/>
      <c r="BY33" s="61"/>
      <c r="BZ33" s="61"/>
      <c r="CA33" s="61"/>
      <c r="CB33" s="61"/>
      <c r="CC33" s="61" t="str">
        <f>CC3*1.6</f>
        <v>0</v>
      </c>
      <c r="CD33" s="61"/>
      <c r="CE33" s="61"/>
      <c r="CF33" s="61"/>
      <c r="CG33" s="55" t="str">
        <f>CG3*4.6</f>
        <v>4.6</v>
      </c>
      <c r="CH33" s="55"/>
      <c r="CI33" s="28"/>
      <c r="CJ33" s="49"/>
      <c r="CK33" s="50" t="str">
        <f t="shared" si="1"/>
        <v>24.6</v>
      </c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</row>
    <row r="34" ht="15.75" customHeight="1">
      <c r="A34" s="62" t="s">
        <v>149</v>
      </c>
      <c r="B34" s="63" t="s">
        <v>150</v>
      </c>
      <c r="C34" s="53"/>
      <c r="D34" s="54" t="str">
        <f>4*D3</f>
        <v>12</v>
      </c>
      <c r="E34" s="53"/>
      <c r="F34" s="54"/>
      <c r="G34" s="53"/>
      <c r="H34" s="53"/>
      <c r="I34" s="54"/>
      <c r="J34" s="53"/>
      <c r="K34" s="53"/>
      <c r="L34" s="54"/>
      <c r="M34" s="54"/>
      <c r="N34" s="54"/>
      <c r="O34" s="53"/>
      <c r="P34" s="53"/>
      <c r="Q34" s="53"/>
      <c r="R34" s="53"/>
      <c r="S34" s="54"/>
      <c r="T34" s="53"/>
      <c r="U34" s="54"/>
      <c r="V34" s="54"/>
      <c r="W34" s="42"/>
      <c r="X34" s="42"/>
      <c r="Y34" s="42"/>
      <c r="Z34" s="55"/>
      <c r="AA34" s="42"/>
      <c r="AB34" s="42"/>
      <c r="AC34" s="42"/>
      <c r="AD34" s="42"/>
      <c r="AE34" s="42"/>
      <c r="AF34" s="55"/>
      <c r="AG34" s="55"/>
      <c r="AH34" s="42"/>
      <c r="AI34" s="20"/>
      <c r="AJ34" s="56"/>
      <c r="AK34" s="42"/>
      <c r="AL34" s="42"/>
      <c r="AM34" s="55"/>
      <c r="AN34" s="42"/>
      <c r="AO34" s="42"/>
      <c r="AP34" s="42"/>
      <c r="AQ34" s="42"/>
      <c r="AR34" s="42"/>
      <c r="AS34" s="42"/>
      <c r="AT34" s="55"/>
      <c r="AU34" s="57"/>
      <c r="AV34" s="57"/>
      <c r="AW34" s="57"/>
      <c r="AX34" s="57"/>
      <c r="AY34" s="57"/>
      <c r="AZ34" s="57"/>
      <c r="BA34" s="57"/>
      <c r="BB34" s="58"/>
      <c r="BC34" s="57"/>
      <c r="BD34" s="58"/>
      <c r="BE34" s="57"/>
      <c r="BF34" s="57"/>
      <c r="BG34" s="57"/>
      <c r="BH34" s="57"/>
      <c r="BI34" s="54"/>
      <c r="BJ34" s="53"/>
      <c r="BK34" s="53"/>
      <c r="BL34" s="59"/>
      <c r="BM34" s="59"/>
      <c r="BN34" s="59"/>
      <c r="BO34" s="59"/>
      <c r="BP34" s="60"/>
      <c r="BQ34" s="59"/>
      <c r="BR34" s="59"/>
      <c r="BS34" s="59"/>
      <c r="BT34" s="59"/>
      <c r="BU34" s="59"/>
      <c r="BV34" s="59"/>
      <c r="BW34" s="59"/>
      <c r="BX34" s="60"/>
      <c r="BY34" s="61"/>
      <c r="BZ34" s="61"/>
      <c r="CA34" s="61"/>
      <c r="CB34" s="61"/>
      <c r="CC34" s="61"/>
      <c r="CD34" s="61"/>
      <c r="CE34" s="61"/>
      <c r="CF34" s="61"/>
      <c r="CG34" s="55"/>
      <c r="CH34" s="55"/>
      <c r="CI34" s="28"/>
      <c r="CJ34" s="49"/>
      <c r="CK34" s="50" t="str">
        <f t="shared" si="1"/>
        <v>12</v>
      </c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</row>
    <row r="35" ht="15.75" customHeight="1">
      <c r="A35" s="51" t="s">
        <v>151</v>
      </c>
      <c r="B35" s="52" t="s">
        <v>152</v>
      </c>
      <c r="C35" s="53" t="str">
        <f>C3*60</f>
        <v>0</v>
      </c>
      <c r="D35" s="54"/>
      <c r="E35" s="53"/>
      <c r="F35" s="54"/>
      <c r="G35" s="53"/>
      <c r="H35" s="53"/>
      <c r="I35" s="54"/>
      <c r="J35" s="53"/>
      <c r="K35" s="53"/>
      <c r="L35" s="54"/>
      <c r="M35" s="54"/>
      <c r="N35" s="54"/>
      <c r="O35" s="53"/>
      <c r="P35" s="53"/>
      <c r="Q35" s="53" t="str">
        <f>Q3*50</f>
        <v>0</v>
      </c>
      <c r="R35" s="53"/>
      <c r="S35" s="54"/>
      <c r="T35" s="53" t="str">
        <f>T3*1</f>
        <v>0</v>
      </c>
      <c r="U35" s="54"/>
      <c r="V35" s="54"/>
      <c r="W35" s="42"/>
      <c r="X35" s="42"/>
      <c r="Y35" s="42"/>
      <c r="Z35" s="55"/>
      <c r="AA35" s="42"/>
      <c r="AB35" s="42"/>
      <c r="AC35" s="42"/>
      <c r="AD35" s="42"/>
      <c r="AE35" s="42"/>
      <c r="AF35" s="55"/>
      <c r="AG35" s="55"/>
      <c r="AH35" s="42"/>
      <c r="AI35" s="20"/>
      <c r="AJ35" s="56"/>
      <c r="AK35" s="42"/>
      <c r="AL35" s="42"/>
      <c r="AM35" s="55" t="str">
        <f>AM3*43.4</f>
        <v>0</v>
      </c>
      <c r="AN35" s="42"/>
      <c r="AO35" s="42"/>
      <c r="AP35" s="42"/>
      <c r="AQ35" s="42"/>
      <c r="AR35" s="42"/>
      <c r="AS35" s="42"/>
      <c r="AT35" s="55"/>
      <c r="AU35" s="57"/>
      <c r="AV35" s="57"/>
      <c r="AW35" s="57"/>
      <c r="AX35" s="57"/>
      <c r="AY35" s="57"/>
      <c r="AZ35" s="57"/>
      <c r="BA35" s="57"/>
      <c r="BB35" s="58"/>
      <c r="BC35" s="57"/>
      <c r="BD35" s="58"/>
      <c r="BE35" s="57"/>
      <c r="BF35" s="57"/>
      <c r="BG35" s="57"/>
      <c r="BH35" s="57"/>
      <c r="BI35" s="54"/>
      <c r="BJ35" s="53"/>
      <c r="BK35" s="53"/>
      <c r="BL35" s="59"/>
      <c r="BM35" s="59"/>
      <c r="BN35" s="59"/>
      <c r="BO35" s="59"/>
      <c r="BP35" s="60"/>
      <c r="BQ35" s="59"/>
      <c r="BR35" s="59"/>
      <c r="BS35" s="59"/>
      <c r="BT35" s="59"/>
      <c r="BU35" s="59"/>
      <c r="BV35" s="59"/>
      <c r="BW35" s="59"/>
      <c r="BX35" s="60"/>
      <c r="BY35" s="61"/>
      <c r="BZ35" s="61"/>
      <c r="CA35" s="61"/>
      <c r="CB35" s="61" t="str">
        <f>CB3*41</f>
        <v>41</v>
      </c>
      <c r="CC35" s="61"/>
      <c r="CD35" s="61"/>
      <c r="CE35" s="61" t="str">
        <f>CE3*23</f>
        <v>0</v>
      </c>
      <c r="CF35" s="61"/>
      <c r="CG35" s="55"/>
      <c r="CH35" s="55"/>
      <c r="CI35" s="28"/>
      <c r="CJ35" s="49"/>
      <c r="CK35" s="50" t="str">
        <f t="shared" si="1"/>
        <v>41</v>
      </c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</row>
    <row r="36" ht="15.75" customHeight="1">
      <c r="A36" s="62" t="s">
        <v>153</v>
      </c>
      <c r="B36" s="63" t="s">
        <v>154</v>
      </c>
      <c r="C36" s="53" t="str">
        <f>C3*12</f>
        <v>0</v>
      </c>
      <c r="D36" s="54"/>
      <c r="E36" s="53"/>
      <c r="F36" s="54"/>
      <c r="G36" s="53"/>
      <c r="H36" s="53"/>
      <c r="I36" s="54"/>
      <c r="J36" s="53"/>
      <c r="K36" s="53"/>
      <c r="L36" s="54"/>
      <c r="M36" s="54"/>
      <c r="N36" s="54"/>
      <c r="O36" s="53"/>
      <c r="P36" s="53"/>
      <c r="Q36" s="53"/>
      <c r="R36" s="53"/>
      <c r="S36" s="54"/>
      <c r="T36" s="53"/>
      <c r="U36" s="54"/>
      <c r="V36" s="54"/>
      <c r="W36" s="42"/>
      <c r="X36" s="42"/>
      <c r="Y36" s="42"/>
      <c r="Z36" s="55"/>
      <c r="AA36" s="42" t="str">
        <f>2*AA3</f>
        <v>4</v>
      </c>
      <c r="AB36" s="42"/>
      <c r="AC36" s="42"/>
      <c r="AD36" s="42"/>
      <c r="AE36" s="42"/>
      <c r="AF36" s="55"/>
      <c r="AG36" s="55"/>
      <c r="AH36" s="42"/>
      <c r="AI36" s="20"/>
      <c r="AJ36" s="56"/>
      <c r="AK36" s="42"/>
      <c r="AL36" s="42" t="str">
        <f>AL3*2</f>
        <v>0</v>
      </c>
      <c r="AM36" s="55"/>
      <c r="AN36" s="42"/>
      <c r="AO36" s="42"/>
      <c r="AP36" s="42"/>
      <c r="AQ36" s="42"/>
      <c r="AR36" s="42"/>
      <c r="AS36" s="42"/>
      <c r="AT36" s="55"/>
      <c r="AU36" s="57"/>
      <c r="AV36" s="57"/>
      <c r="AW36" s="57"/>
      <c r="AX36" s="57"/>
      <c r="AY36" s="57"/>
      <c r="AZ36" s="57"/>
      <c r="BA36" s="57"/>
      <c r="BB36" s="58"/>
      <c r="BC36" s="57"/>
      <c r="BD36" s="58"/>
      <c r="BE36" s="57"/>
      <c r="BF36" s="57"/>
      <c r="BG36" s="57"/>
      <c r="BH36" s="57"/>
      <c r="BI36" s="54"/>
      <c r="BJ36" s="53"/>
      <c r="BK36" s="53"/>
      <c r="BL36" s="59"/>
      <c r="BM36" s="59"/>
      <c r="BN36" s="59"/>
      <c r="BO36" s="59"/>
      <c r="BP36" s="60"/>
      <c r="BQ36" s="59"/>
      <c r="BR36" s="59"/>
      <c r="BS36" s="59"/>
      <c r="BT36" s="59"/>
      <c r="BU36" s="59"/>
      <c r="BV36" s="59"/>
      <c r="BW36" s="59"/>
      <c r="BX36" s="60"/>
      <c r="BY36" s="61"/>
      <c r="BZ36" s="61"/>
      <c r="CA36" s="61"/>
      <c r="CB36" s="61"/>
      <c r="CC36" s="61"/>
      <c r="CD36" s="61"/>
      <c r="CE36" s="61"/>
      <c r="CF36" s="61"/>
      <c r="CG36" s="55"/>
      <c r="CH36" s="55"/>
      <c r="CI36" s="28"/>
      <c r="CJ36" s="49"/>
      <c r="CK36" s="50" t="str">
        <f t="shared" si="1"/>
        <v>4</v>
      </c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</row>
    <row r="37" ht="15.75" customHeight="1">
      <c r="A37" s="51" t="s">
        <v>155</v>
      </c>
      <c r="B37" s="52" t="s">
        <v>156</v>
      </c>
      <c r="C37" s="53"/>
      <c r="D37" s="54"/>
      <c r="E37" s="53"/>
      <c r="F37" s="54"/>
      <c r="G37" s="53"/>
      <c r="H37" s="53"/>
      <c r="I37" s="54"/>
      <c r="J37" s="53"/>
      <c r="K37" s="53"/>
      <c r="L37" s="54"/>
      <c r="M37" s="54"/>
      <c r="N37" s="54"/>
      <c r="O37" s="53"/>
      <c r="P37" s="53"/>
      <c r="Q37" s="53"/>
      <c r="R37" s="53"/>
      <c r="S37" s="54"/>
      <c r="T37" s="53"/>
      <c r="U37" s="54"/>
      <c r="V37" s="54"/>
      <c r="W37" s="42"/>
      <c r="X37" s="42"/>
      <c r="Y37" s="42"/>
      <c r="Z37" s="55"/>
      <c r="AA37" s="42"/>
      <c r="AB37" s="42"/>
      <c r="AC37" s="42"/>
      <c r="AD37" s="42"/>
      <c r="AE37" s="42"/>
      <c r="AF37" s="55"/>
      <c r="AG37" s="55"/>
      <c r="AH37" s="42"/>
      <c r="AI37" s="20"/>
      <c r="AJ37" s="56"/>
      <c r="AK37" s="42"/>
      <c r="AL37" s="42"/>
      <c r="AM37" s="55" t="str">
        <f>AM3*4</f>
        <v>0</v>
      </c>
      <c r="AN37" s="42" t="str">
        <f>20*AN3</f>
        <v>20</v>
      </c>
      <c r="AO37" s="42"/>
      <c r="AP37" s="42"/>
      <c r="AQ37" s="42"/>
      <c r="AR37" s="42"/>
      <c r="AS37" s="42"/>
      <c r="AT37" s="55"/>
      <c r="AU37" s="57"/>
      <c r="AV37" s="57"/>
      <c r="AW37" s="57"/>
      <c r="AX37" s="57"/>
      <c r="AY37" s="57"/>
      <c r="AZ37" s="57"/>
      <c r="BA37" s="57"/>
      <c r="BB37" s="58"/>
      <c r="BC37" s="57"/>
      <c r="BD37" s="58"/>
      <c r="BE37" s="57"/>
      <c r="BF37" s="57"/>
      <c r="BG37" s="57"/>
      <c r="BH37" s="57"/>
      <c r="BI37" s="54"/>
      <c r="BJ37" s="53"/>
      <c r="BK37" s="53"/>
      <c r="BL37" s="59"/>
      <c r="BM37" s="59"/>
      <c r="BN37" s="59"/>
      <c r="BO37" s="59"/>
      <c r="BP37" s="60"/>
      <c r="BQ37" s="59"/>
      <c r="BR37" s="59"/>
      <c r="BS37" s="59"/>
      <c r="BT37" s="59"/>
      <c r="BU37" s="59"/>
      <c r="BV37" s="59"/>
      <c r="BW37" s="59"/>
      <c r="BX37" s="60"/>
      <c r="BY37" s="61"/>
      <c r="BZ37" s="61"/>
      <c r="CA37" s="61"/>
      <c r="CB37" s="61" t="str">
        <f>CB3*4</f>
        <v>4</v>
      </c>
      <c r="CC37" s="61"/>
      <c r="CD37" s="61"/>
      <c r="CE37" s="61"/>
      <c r="CF37" s="61"/>
      <c r="CG37" s="55"/>
      <c r="CH37" s="55"/>
      <c r="CI37" s="28"/>
      <c r="CJ37" s="49"/>
      <c r="CK37" s="50" t="str">
        <f t="shared" si="1"/>
        <v>24</v>
      </c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</row>
    <row r="38" ht="15.75" customHeight="1">
      <c r="A38" s="62" t="s">
        <v>157</v>
      </c>
      <c r="B38" s="63" t="s">
        <v>158</v>
      </c>
      <c r="C38" s="53"/>
      <c r="D38" s="54"/>
      <c r="E38" s="53"/>
      <c r="F38" s="54"/>
      <c r="G38" s="53"/>
      <c r="H38" s="53"/>
      <c r="I38" s="54"/>
      <c r="J38" s="53"/>
      <c r="K38" s="53"/>
      <c r="L38" s="54"/>
      <c r="M38" s="54"/>
      <c r="N38" s="54"/>
      <c r="O38" s="53"/>
      <c r="P38" s="53"/>
      <c r="Q38" s="53"/>
      <c r="R38" s="53"/>
      <c r="S38" s="54"/>
      <c r="T38" s="53"/>
      <c r="U38" s="54"/>
      <c r="V38" s="54"/>
      <c r="W38" s="42"/>
      <c r="X38" s="42"/>
      <c r="Y38" s="42"/>
      <c r="Z38" s="55"/>
      <c r="AA38" s="42"/>
      <c r="AB38" s="42"/>
      <c r="AC38" s="42"/>
      <c r="AD38" s="42"/>
      <c r="AE38" s="42"/>
      <c r="AF38" s="55"/>
      <c r="AG38" s="55"/>
      <c r="AH38" s="42"/>
      <c r="AI38" s="20"/>
      <c r="AJ38" s="56"/>
      <c r="AK38" s="42"/>
      <c r="AL38" s="42"/>
      <c r="AM38" s="55"/>
      <c r="AN38" s="42"/>
      <c r="AO38" s="42"/>
      <c r="AP38" s="42"/>
      <c r="AQ38" s="42"/>
      <c r="AR38" s="42"/>
      <c r="AS38" s="42"/>
      <c r="AT38" s="55"/>
      <c r="AU38" s="57"/>
      <c r="AV38" s="57"/>
      <c r="AW38" s="57"/>
      <c r="AX38" s="57"/>
      <c r="AY38" s="57"/>
      <c r="AZ38" s="57" t="str">
        <f>AZ3*0.1</f>
        <v>0.1</v>
      </c>
      <c r="BA38" s="57"/>
      <c r="BB38" s="58"/>
      <c r="BC38" s="57"/>
      <c r="BD38" s="58"/>
      <c r="BE38" s="57"/>
      <c r="BF38" s="57"/>
      <c r="BG38" s="57"/>
      <c r="BH38" s="57"/>
      <c r="BI38" s="54"/>
      <c r="BJ38" s="53"/>
      <c r="BK38" s="53"/>
      <c r="BL38" s="59"/>
      <c r="BM38" s="59"/>
      <c r="BN38" s="59"/>
      <c r="BO38" s="59"/>
      <c r="BP38" s="60"/>
      <c r="BQ38" s="59"/>
      <c r="BR38" s="59"/>
      <c r="BS38" s="59"/>
      <c r="BT38" s="59"/>
      <c r="BU38" s="59"/>
      <c r="BV38" s="59"/>
      <c r="BW38" s="59" t="str">
        <f>BW3*0.1</f>
        <v>0</v>
      </c>
      <c r="BX38" s="60"/>
      <c r="BY38" s="61"/>
      <c r="BZ38" s="61"/>
      <c r="CA38" s="61"/>
      <c r="CB38" s="61"/>
      <c r="CC38" s="61"/>
      <c r="CD38" s="61"/>
      <c r="CE38" s="61"/>
      <c r="CF38" s="61"/>
      <c r="CG38" s="55"/>
      <c r="CH38" s="55"/>
      <c r="CI38" s="28"/>
      <c r="CJ38" s="49"/>
      <c r="CK38" s="50" t="str">
        <f t="shared" si="1"/>
        <v>0.1</v>
      </c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</row>
    <row r="39" ht="15.75" customHeight="1">
      <c r="A39" s="51" t="s">
        <v>159</v>
      </c>
      <c r="B39" s="52" t="s">
        <v>160</v>
      </c>
      <c r="C39" s="53"/>
      <c r="D39" s="54"/>
      <c r="E39" s="53"/>
      <c r="F39" s="54"/>
      <c r="G39" s="53"/>
      <c r="H39" s="53"/>
      <c r="I39" s="54"/>
      <c r="J39" s="53"/>
      <c r="K39" s="53"/>
      <c r="L39" s="54"/>
      <c r="M39" s="54"/>
      <c r="N39" s="54"/>
      <c r="O39" s="53"/>
      <c r="P39" s="53"/>
      <c r="Q39" s="53"/>
      <c r="R39" s="53"/>
      <c r="S39" s="54"/>
      <c r="T39" s="53"/>
      <c r="U39" s="54"/>
      <c r="V39" s="54"/>
      <c r="W39" s="42"/>
      <c r="X39" s="42"/>
      <c r="Y39" s="42"/>
      <c r="Z39" s="55"/>
      <c r="AA39" s="42"/>
      <c r="AB39" s="42"/>
      <c r="AC39" s="42"/>
      <c r="AD39" s="42"/>
      <c r="AE39" s="42"/>
      <c r="AF39" s="55"/>
      <c r="AG39" s="55"/>
      <c r="AH39" s="42"/>
      <c r="AI39" s="20"/>
      <c r="AJ39" s="56"/>
      <c r="AK39" s="42"/>
      <c r="AL39" s="42"/>
      <c r="AM39" s="55"/>
      <c r="AN39" s="42"/>
      <c r="AO39" s="42"/>
      <c r="AP39" s="42"/>
      <c r="AQ39" s="42"/>
      <c r="AR39" s="42"/>
      <c r="AS39" s="42"/>
      <c r="AT39" s="55"/>
      <c r="AU39" s="57"/>
      <c r="AV39" s="57"/>
      <c r="AW39" s="57"/>
      <c r="AX39" s="57"/>
      <c r="AY39" s="57"/>
      <c r="AZ39" s="57"/>
      <c r="BA39" s="57"/>
      <c r="BB39" s="58"/>
      <c r="BC39" s="57"/>
      <c r="BD39" s="58"/>
      <c r="BE39" s="57"/>
      <c r="BF39" s="57"/>
      <c r="BG39" s="57"/>
      <c r="BH39" s="57"/>
      <c r="BI39" s="54"/>
      <c r="BJ39" s="53"/>
      <c r="BK39" s="53"/>
      <c r="BL39" s="59"/>
      <c r="BM39" s="59"/>
      <c r="BN39" s="59"/>
      <c r="BO39" s="59"/>
      <c r="BP39" s="60"/>
      <c r="BQ39" s="59"/>
      <c r="BR39" s="59"/>
      <c r="BS39" s="59"/>
      <c r="BT39" s="59"/>
      <c r="BU39" s="59"/>
      <c r="BV39" s="59"/>
      <c r="BW39" s="59"/>
      <c r="BX39" s="60"/>
      <c r="BY39" s="61"/>
      <c r="BZ39" s="61"/>
      <c r="CA39" s="61"/>
      <c r="CB39" s="61"/>
      <c r="CC39" s="61"/>
      <c r="CD39" s="61"/>
      <c r="CE39" s="61"/>
      <c r="CF39" s="61"/>
      <c r="CG39" s="55"/>
      <c r="CH39" s="55"/>
      <c r="CI39" s="28"/>
      <c r="CJ39" s="49"/>
      <c r="CK39" s="50" t="str">
        <f t="shared" si="1"/>
        <v>0</v>
      </c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</row>
    <row r="40" ht="15.75" customHeight="1">
      <c r="A40" s="62" t="s">
        <v>161</v>
      </c>
      <c r="B40" s="63" t="s">
        <v>162</v>
      </c>
      <c r="C40" s="53"/>
      <c r="D40" s="54"/>
      <c r="E40" s="53"/>
      <c r="F40" s="54"/>
      <c r="G40" s="53"/>
      <c r="H40" s="53"/>
      <c r="I40" s="54"/>
      <c r="J40" s="53"/>
      <c r="K40" s="53"/>
      <c r="L40" s="54"/>
      <c r="M40" s="54"/>
      <c r="N40" s="54"/>
      <c r="O40" s="53"/>
      <c r="P40" s="53"/>
      <c r="Q40" s="53"/>
      <c r="R40" s="53"/>
      <c r="S40" s="54"/>
      <c r="T40" s="53"/>
      <c r="U40" s="54"/>
      <c r="V40" s="54"/>
      <c r="W40" s="42"/>
      <c r="X40" s="42"/>
      <c r="Y40" s="42"/>
      <c r="Z40" s="55"/>
      <c r="AA40" s="42"/>
      <c r="AB40" s="42"/>
      <c r="AC40" s="42"/>
      <c r="AD40" s="42"/>
      <c r="AE40" s="42"/>
      <c r="AF40" s="55"/>
      <c r="AG40" s="55"/>
      <c r="AH40" s="42"/>
      <c r="AI40" s="20"/>
      <c r="AJ40" s="56"/>
      <c r="AK40" s="42"/>
      <c r="AL40" s="42"/>
      <c r="AM40" s="55"/>
      <c r="AN40" s="42"/>
      <c r="AO40" s="42"/>
      <c r="AP40" s="42"/>
      <c r="AQ40" s="42"/>
      <c r="AR40" s="42"/>
      <c r="AS40" s="42"/>
      <c r="AT40" s="55"/>
      <c r="AU40" s="57"/>
      <c r="AV40" s="57"/>
      <c r="AW40" s="57"/>
      <c r="AX40" s="57"/>
      <c r="AY40" s="57"/>
      <c r="AZ40" s="57"/>
      <c r="BA40" s="57"/>
      <c r="BB40" s="58"/>
      <c r="BC40" s="57"/>
      <c r="BD40" s="58"/>
      <c r="BE40" s="57" t="str">
        <f>BE3*0.0014</f>
        <v>0</v>
      </c>
      <c r="BF40" s="57" t="str">
        <f>BF3*0.0023</f>
        <v>0</v>
      </c>
      <c r="BG40" s="57"/>
      <c r="BH40" s="57"/>
      <c r="BI40" s="54"/>
      <c r="BJ40" s="53"/>
      <c r="BK40" s="53"/>
      <c r="BL40" s="59"/>
      <c r="BM40" s="59"/>
      <c r="BN40" s="59"/>
      <c r="BO40" s="59"/>
      <c r="BP40" s="60"/>
      <c r="BQ40" s="59"/>
      <c r="BR40" s="59"/>
      <c r="BS40" s="59"/>
      <c r="BT40" s="59"/>
      <c r="BU40" s="59"/>
      <c r="BV40" s="59"/>
      <c r="BW40" s="59"/>
      <c r="BX40" s="60"/>
      <c r="BY40" s="61"/>
      <c r="BZ40" s="61"/>
      <c r="CA40" s="61" t="str">
        <f>0.006*CA3</f>
        <v>0.006</v>
      </c>
      <c r="CB40" s="61"/>
      <c r="CC40" s="61"/>
      <c r="CD40" s="61"/>
      <c r="CE40" s="61"/>
      <c r="CF40" s="61"/>
      <c r="CG40" s="55"/>
      <c r="CH40" s="55"/>
      <c r="CI40" s="28"/>
      <c r="CJ40" s="49"/>
      <c r="CK40" s="50" t="str">
        <f t="shared" si="1"/>
        <v>0.006</v>
      </c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</row>
    <row r="41" ht="15.75" customHeight="1">
      <c r="A41" s="51" t="s">
        <v>163</v>
      </c>
      <c r="B41" s="52" t="s">
        <v>164</v>
      </c>
      <c r="C41" s="53"/>
      <c r="D41" s="54"/>
      <c r="E41" s="53"/>
      <c r="F41" s="54"/>
      <c r="G41" s="53"/>
      <c r="H41" s="53"/>
      <c r="I41" s="54"/>
      <c r="J41" s="53"/>
      <c r="K41" s="53"/>
      <c r="L41" s="54"/>
      <c r="M41" s="54"/>
      <c r="N41" s="54"/>
      <c r="O41" s="53"/>
      <c r="P41" s="53"/>
      <c r="Q41" s="53"/>
      <c r="R41" s="53" t="str">
        <f>R3*0.1</f>
        <v>0</v>
      </c>
      <c r="S41" s="54"/>
      <c r="T41" s="53"/>
      <c r="U41" s="54"/>
      <c r="V41" s="54"/>
      <c r="W41" s="42"/>
      <c r="X41" s="42"/>
      <c r="Y41" s="42"/>
      <c r="Z41" s="55"/>
      <c r="AA41" s="42"/>
      <c r="AB41" s="42"/>
      <c r="AC41" s="42"/>
      <c r="AD41" s="42"/>
      <c r="AE41" s="42"/>
      <c r="AF41" s="55"/>
      <c r="AG41" s="55"/>
      <c r="AH41" s="42"/>
      <c r="AI41" s="20"/>
      <c r="AJ41" s="56"/>
      <c r="AK41" s="42"/>
      <c r="AL41" s="42"/>
      <c r="AM41" s="55"/>
      <c r="AN41" s="42"/>
      <c r="AO41" s="42"/>
      <c r="AP41" s="42"/>
      <c r="AQ41" s="42"/>
      <c r="AR41" s="42"/>
      <c r="AS41" s="42"/>
      <c r="AT41" s="55"/>
      <c r="AU41" s="57"/>
      <c r="AV41" s="57"/>
      <c r="AW41" s="57"/>
      <c r="AX41" s="57"/>
      <c r="AY41" s="57"/>
      <c r="AZ41" s="57"/>
      <c r="BA41" s="57"/>
      <c r="BB41" s="58"/>
      <c r="BC41" s="57"/>
      <c r="BD41" s="58"/>
      <c r="BE41" s="57"/>
      <c r="BF41" s="57"/>
      <c r="BG41" s="57"/>
      <c r="BH41" s="57"/>
      <c r="BI41" s="54"/>
      <c r="BJ41" s="53"/>
      <c r="BK41" s="53"/>
      <c r="BL41" s="59"/>
      <c r="BM41" s="59"/>
      <c r="BN41" s="59"/>
      <c r="BO41" s="59"/>
      <c r="BP41" s="60"/>
      <c r="BQ41" s="59"/>
      <c r="BR41" s="59"/>
      <c r="BS41" s="59"/>
      <c r="BT41" s="59"/>
      <c r="BU41" s="59"/>
      <c r="BV41" s="59"/>
      <c r="BW41" s="59"/>
      <c r="BX41" s="60"/>
      <c r="BY41" s="61"/>
      <c r="BZ41" s="61"/>
      <c r="CA41" s="61"/>
      <c r="CB41" s="61"/>
      <c r="CC41" s="61"/>
      <c r="CD41" s="61"/>
      <c r="CE41" s="61"/>
      <c r="CF41" s="61"/>
      <c r="CG41" s="55"/>
      <c r="CH41" s="55"/>
      <c r="CI41" s="28"/>
      <c r="CJ41" s="49"/>
      <c r="CK41" s="50" t="str">
        <f t="shared" si="1"/>
        <v>0</v>
      </c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</row>
    <row r="42" ht="15.75" customHeight="1">
      <c r="A42" s="62" t="s">
        <v>165</v>
      </c>
      <c r="B42" s="63" t="s">
        <v>166</v>
      </c>
      <c r="C42" s="53"/>
      <c r="D42" s="54"/>
      <c r="E42" s="53"/>
      <c r="F42" s="54"/>
      <c r="G42" s="53"/>
      <c r="H42" s="53"/>
      <c r="I42" s="54"/>
      <c r="J42" s="53"/>
      <c r="K42" s="53"/>
      <c r="L42" s="54"/>
      <c r="M42" s="54"/>
      <c r="N42" s="54"/>
      <c r="O42" s="53"/>
      <c r="P42" s="53"/>
      <c r="Q42" s="53"/>
      <c r="R42" s="53"/>
      <c r="S42" s="54"/>
      <c r="T42" s="53"/>
      <c r="U42" s="54"/>
      <c r="V42" s="54"/>
      <c r="W42" s="42"/>
      <c r="X42" s="42"/>
      <c r="Y42" s="42"/>
      <c r="Z42" s="55"/>
      <c r="AA42" s="42"/>
      <c r="AB42" s="42"/>
      <c r="AC42" s="42"/>
      <c r="AD42" s="42"/>
      <c r="AE42" s="42"/>
      <c r="AF42" s="55"/>
      <c r="AG42" s="55"/>
      <c r="AH42" s="42"/>
      <c r="AI42" s="20"/>
      <c r="AJ42" s="56"/>
      <c r="AK42" s="42"/>
      <c r="AL42" s="42"/>
      <c r="AM42" s="55"/>
      <c r="AN42" s="42"/>
      <c r="AO42" s="42"/>
      <c r="AP42" s="42"/>
      <c r="AQ42" s="42"/>
      <c r="AR42" s="42"/>
      <c r="AS42" s="42"/>
      <c r="AT42" s="55"/>
      <c r="AU42" s="57"/>
      <c r="AV42" s="57"/>
      <c r="AW42" s="57"/>
      <c r="AX42" s="57"/>
      <c r="AY42" s="57"/>
      <c r="AZ42" s="57"/>
      <c r="BA42" s="57"/>
      <c r="BB42" s="58"/>
      <c r="BC42" s="57"/>
      <c r="BD42" s="58"/>
      <c r="BE42" s="57"/>
      <c r="BF42" s="57"/>
      <c r="BG42" s="57"/>
      <c r="BH42" s="57"/>
      <c r="BI42" s="54"/>
      <c r="BJ42" s="53"/>
      <c r="BK42" s="53"/>
      <c r="BL42" s="59"/>
      <c r="BM42" s="59"/>
      <c r="BN42" s="59"/>
      <c r="BO42" s="59"/>
      <c r="BP42" s="60"/>
      <c r="BQ42" s="59"/>
      <c r="BR42" s="59"/>
      <c r="BS42" s="59" t="str">
        <f>BS3*0.018</f>
        <v>0.009</v>
      </c>
      <c r="BT42" s="59" t="str">
        <f>BT3*0.072</f>
        <v>0</v>
      </c>
      <c r="BU42" s="59"/>
      <c r="BV42" s="59"/>
      <c r="BW42" s="59"/>
      <c r="BX42" s="60"/>
      <c r="BY42" s="61"/>
      <c r="BZ42" s="61"/>
      <c r="CA42" s="61"/>
      <c r="CB42" s="61"/>
      <c r="CC42" s="61"/>
      <c r="CD42" s="61"/>
      <c r="CE42" s="61"/>
      <c r="CF42" s="61"/>
      <c r="CG42" s="55"/>
      <c r="CH42" s="55"/>
      <c r="CI42" s="28"/>
      <c r="CJ42" s="49"/>
      <c r="CK42" s="50" t="str">
        <f t="shared" si="1"/>
        <v>0.009</v>
      </c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</row>
    <row r="43" ht="15.75" customHeight="1">
      <c r="A43" s="51" t="s">
        <v>167</v>
      </c>
      <c r="B43" s="52" t="s">
        <v>168</v>
      </c>
      <c r="C43" s="53"/>
      <c r="D43" s="54"/>
      <c r="E43" s="53"/>
      <c r="F43" s="54"/>
      <c r="G43" s="53"/>
      <c r="H43" s="53"/>
      <c r="I43" s="54"/>
      <c r="J43" s="53"/>
      <c r="K43" s="53"/>
      <c r="L43" s="54"/>
      <c r="M43" s="54"/>
      <c r="N43" s="54" t="str">
        <f>100*N3</f>
        <v>100</v>
      </c>
      <c r="O43" s="53"/>
      <c r="P43" s="53"/>
      <c r="Q43" s="53"/>
      <c r="R43" s="53"/>
      <c r="S43" s="54"/>
      <c r="T43" s="53" t="str">
        <f>T3*0.126</f>
        <v>0</v>
      </c>
      <c r="U43" s="54"/>
      <c r="V43" s="54"/>
      <c r="W43" s="42"/>
      <c r="X43" s="42"/>
      <c r="Y43" s="42"/>
      <c r="Z43" s="55"/>
      <c r="AA43" s="42"/>
      <c r="AB43" s="42"/>
      <c r="AC43" s="42"/>
      <c r="AD43" s="42"/>
      <c r="AE43" s="42"/>
      <c r="AF43" s="55"/>
      <c r="AG43" s="55"/>
      <c r="AH43" s="42"/>
      <c r="AI43" s="20"/>
      <c r="AJ43" s="56"/>
      <c r="AK43" s="42"/>
      <c r="AL43" s="42"/>
      <c r="AM43" s="55"/>
      <c r="AN43" s="42"/>
      <c r="AO43" s="42"/>
      <c r="AP43" s="42"/>
      <c r="AQ43" s="42"/>
      <c r="AR43" s="42"/>
      <c r="AS43" s="42"/>
      <c r="AT43" s="55"/>
      <c r="AU43" s="57"/>
      <c r="AV43" s="57"/>
      <c r="AW43" s="57"/>
      <c r="AX43" s="57"/>
      <c r="AY43" s="57"/>
      <c r="AZ43" s="57"/>
      <c r="BA43" s="57"/>
      <c r="BB43" s="58"/>
      <c r="BC43" s="57"/>
      <c r="BD43" s="58"/>
      <c r="BE43" s="57"/>
      <c r="BF43" s="57"/>
      <c r="BG43" s="57"/>
      <c r="BH43" s="57"/>
      <c r="BI43" s="54"/>
      <c r="BJ43" s="53"/>
      <c r="BK43" s="53"/>
      <c r="BL43" s="59"/>
      <c r="BM43" s="59"/>
      <c r="BN43" s="59" t="str">
        <f>BN3*12.3</f>
        <v>0</v>
      </c>
      <c r="BO43" s="59" t="str">
        <f>BO3*49.2</f>
        <v>0</v>
      </c>
      <c r="BP43" s="60"/>
      <c r="BQ43" s="59"/>
      <c r="BR43" s="59"/>
      <c r="BS43" s="59"/>
      <c r="BT43" s="59"/>
      <c r="BU43" s="59"/>
      <c r="BV43" s="59"/>
      <c r="BW43" s="59"/>
      <c r="BX43" s="60"/>
      <c r="BY43" s="61"/>
      <c r="BZ43" s="61"/>
      <c r="CA43" s="61"/>
      <c r="CB43" s="61"/>
      <c r="CC43" s="61"/>
      <c r="CD43" s="61"/>
      <c r="CE43" s="61"/>
      <c r="CF43" s="61"/>
      <c r="CG43" s="55"/>
      <c r="CH43" s="55"/>
      <c r="CI43" s="28"/>
      <c r="CJ43" s="49"/>
      <c r="CK43" s="50" t="str">
        <f t="shared" si="1"/>
        <v>100</v>
      </c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</row>
    <row r="44" ht="15.75" customHeight="1">
      <c r="A44" s="62" t="s">
        <v>169</v>
      </c>
      <c r="B44" s="63" t="s">
        <v>170</v>
      </c>
      <c r="C44" s="53"/>
      <c r="D44" s="54"/>
      <c r="E44" s="53"/>
      <c r="F44" s="54"/>
      <c r="G44" s="53"/>
      <c r="H44" s="53"/>
      <c r="I44" s="54"/>
      <c r="J44" s="53"/>
      <c r="K44" s="53"/>
      <c r="L44" s="54"/>
      <c r="M44" s="54"/>
      <c r="N44" s="54"/>
      <c r="O44" s="53"/>
      <c r="P44" s="53"/>
      <c r="Q44" s="53"/>
      <c r="R44" s="53"/>
      <c r="S44" s="54"/>
      <c r="T44" s="53"/>
      <c r="U44" s="54"/>
      <c r="V44" s="54"/>
      <c r="W44" s="42"/>
      <c r="X44" s="42"/>
      <c r="Y44" s="42"/>
      <c r="Z44" s="55"/>
      <c r="AA44" s="42"/>
      <c r="AB44" s="42"/>
      <c r="AC44" s="42"/>
      <c r="AD44" s="42"/>
      <c r="AE44" s="42"/>
      <c r="AF44" s="55"/>
      <c r="AG44" s="55"/>
      <c r="AH44" s="42"/>
      <c r="AI44" s="20"/>
      <c r="AJ44" s="56"/>
      <c r="AK44" s="42"/>
      <c r="AL44" s="42"/>
      <c r="AM44" s="55"/>
      <c r="AN44" s="42"/>
      <c r="AO44" s="42"/>
      <c r="AP44" s="42"/>
      <c r="AQ44" s="42"/>
      <c r="AR44" s="42"/>
      <c r="AS44" s="42"/>
      <c r="AT44" s="55"/>
      <c r="AU44" s="57"/>
      <c r="AV44" s="57"/>
      <c r="AW44" s="57"/>
      <c r="AX44" s="57"/>
      <c r="AY44" s="57"/>
      <c r="AZ44" s="57"/>
      <c r="BA44" s="57"/>
      <c r="BB44" s="58"/>
      <c r="BC44" s="57"/>
      <c r="BD44" s="58"/>
      <c r="BE44" s="57"/>
      <c r="BF44" s="57"/>
      <c r="BG44" s="57"/>
      <c r="BH44" s="57"/>
      <c r="BI44" s="54"/>
      <c r="BJ44" s="53"/>
      <c r="BK44" s="53"/>
      <c r="BL44" s="59" t="str">
        <f>BL3*48</f>
        <v>0</v>
      </c>
      <c r="BM44" s="59" t="str">
        <f>BM3*216</f>
        <v>0</v>
      </c>
      <c r="BN44" s="59"/>
      <c r="BO44" s="59"/>
      <c r="BP44" s="60"/>
      <c r="BQ44" s="59"/>
      <c r="BR44" s="59"/>
      <c r="BS44" s="59"/>
      <c r="BT44" s="59"/>
      <c r="BU44" s="59" t="str">
        <f>BU3*50</f>
        <v>25</v>
      </c>
      <c r="BV44" s="59"/>
      <c r="BW44" s="59"/>
      <c r="BX44" s="60"/>
      <c r="BY44" s="61"/>
      <c r="BZ44" s="61"/>
      <c r="CA44" s="61"/>
      <c r="CB44" s="61"/>
      <c r="CC44" s="61"/>
      <c r="CD44" s="61"/>
      <c r="CE44" s="61"/>
      <c r="CF44" s="61"/>
      <c r="CG44" s="55"/>
      <c r="CH44" s="55"/>
      <c r="CI44" s="28"/>
      <c r="CJ44" s="49"/>
      <c r="CK44" s="50" t="str">
        <f t="shared" si="1"/>
        <v>25</v>
      </c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</row>
    <row r="45" ht="15.75" customHeight="1">
      <c r="A45" s="51" t="s">
        <v>171</v>
      </c>
      <c r="B45" s="52" t="s">
        <v>172</v>
      </c>
      <c r="C45" s="53"/>
      <c r="D45" s="54"/>
      <c r="E45" s="53"/>
      <c r="F45" s="54"/>
      <c r="G45" s="53"/>
      <c r="H45" s="53"/>
      <c r="I45" s="54"/>
      <c r="J45" s="53"/>
      <c r="K45" s="53"/>
      <c r="L45" s="54"/>
      <c r="M45" s="54"/>
      <c r="N45" s="54"/>
      <c r="O45" s="53"/>
      <c r="P45" s="53"/>
      <c r="Q45" s="53"/>
      <c r="R45" s="53"/>
      <c r="S45" s="54"/>
      <c r="T45" s="53"/>
      <c r="U45" s="54"/>
      <c r="V45" s="54"/>
      <c r="W45" s="42"/>
      <c r="X45" s="42"/>
      <c r="Y45" s="42"/>
      <c r="Z45" s="55"/>
      <c r="AA45" s="42"/>
      <c r="AB45" s="42"/>
      <c r="AC45" s="42"/>
      <c r="AD45" s="42"/>
      <c r="AE45" s="42"/>
      <c r="AF45" s="55"/>
      <c r="AG45" s="55"/>
      <c r="AH45" s="42"/>
      <c r="AI45" s="20"/>
      <c r="AJ45" s="56"/>
      <c r="AK45" s="42"/>
      <c r="AL45" s="42"/>
      <c r="AM45" s="55"/>
      <c r="AN45" s="42"/>
      <c r="AO45" s="42"/>
      <c r="AP45" s="42"/>
      <c r="AQ45" s="42"/>
      <c r="AR45" s="42"/>
      <c r="AS45" s="42"/>
      <c r="AT45" s="55"/>
      <c r="AU45" s="57"/>
      <c r="AV45" s="57"/>
      <c r="AW45" s="57"/>
      <c r="AX45" s="57"/>
      <c r="AY45" s="57"/>
      <c r="AZ45" s="57"/>
      <c r="BA45" s="57"/>
      <c r="BB45" s="58"/>
      <c r="BC45" s="57"/>
      <c r="BD45" s="58"/>
      <c r="BE45" s="57"/>
      <c r="BF45" s="57"/>
      <c r="BG45" s="57"/>
      <c r="BH45" s="57"/>
      <c r="BI45" s="54"/>
      <c r="BJ45" s="53"/>
      <c r="BK45" s="53"/>
      <c r="BL45" s="59"/>
      <c r="BM45" s="59"/>
      <c r="BN45" s="59"/>
      <c r="BO45" s="59"/>
      <c r="BP45" s="60"/>
      <c r="BQ45" s="59"/>
      <c r="BR45" s="59"/>
      <c r="BS45" s="59"/>
      <c r="BT45" s="59"/>
      <c r="BU45" s="59"/>
      <c r="BV45" s="59"/>
      <c r="BW45" s="59"/>
      <c r="BX45" s="60"/>
      <c r="BY45" s="61"/>
      <c r="BZ45" s="61"/>
      <c r="CA45" s="61"/>
      <c r="CB45" s="61"/>
      <c r="CC45" s="61"/>
      <c r="CD45" s="61"/>
      <c r="CE45" s="61"/>
      <c r="CF45" s="61"/>
      <c r="CG45" s="55"/>
      <c r="CH45" s="55"/>
      <c r="CI45" s="28"/>
      <c r="CJ45" s="49"/>
      <c r="CK45" s="50" t="str">
        <f t="shared" si="1"/>
        <v>0</v>
      </c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</row>
    <row r="46" ht="15.75" customHeight="1">
      <c r="A46" s="62" t="s">
        <v>173</v>
      </c>
      <c r="B46" s="63" t="s">
        <v>174</v>
      </c>
      <c r="C46" s="53"/>
      <c r="D46" s="54"/>
      <c r="E46" s="53"/>
      <c r="F46" s="54"/>
      <c r="G46" s="53"/>
      <c r="H46" s="53"/>
      <c r="I46" s="54"/>
      <c r="J46" s="53"/>
      <c r="K46" s="53"/>
      <c r="L46" s="54"/>
      <c r="M46" s="54"/>
      <c r="N46" s="54"/>
      <c r="O46" s="53"/>
      <c r="P46" s="53"/>
      <c r="Q46" s="53"/>
      <c r="R46" s="53"/>
      <c r="S46" s="54"/>
      <c r="T46" s="53"/>
      <c r="U46" s="54"/>
      <c r="V46" s="54"/>
      <c r="W46" s="42"/>
      <c r="X46" s="42"/>
      <c r="Y46" s="42"/>
      <c r="Z46" s="55"/>
      <c r="AA46" s="42"/>
      <c r="AB46" s="42"/>
      <c r="AC46" s="42"/>
      <c r="AD46" s="42"/>
      <c r="AE46" s="42"/>
      <c r="AF46" s="55"/>
      <c r="AG46" s="55"/>
      <c r="AH46" s="42"/>
      <c r="AI46" s="20"/>
      <c r="AJ46" s="56"/>
      <c r="AK46" s="42"/>
      <c r="AL46" s="42"/>
      <c r="AM46" s="55"/>
      <c r="AN46" s="42"/>
      <c r="AO46" s="42"/>
      <c r="AP46" s="42"/>
      <c r="AQ46" s="42"/>
      <c r="AR46" s="42"/>
      <c r="AS46" s="42"/>
      <c r="AT46" s="55"/>
      <c r="AU46" s="57"/>
      <c r="AV46" s="57"/>
      <c r="AW46" s="57"/>
      <c r="AX46" s="57"/>
      <c r="AY46" s="57"/>
      <c r="AZ46" s="57"/>
      <c r="BA46" s="57"/>
      <c r="BB46" s="58"/>
      <c r="BC46" s="57"/>
      <c r="BD46" s="58"/>
      <c r="BE46" s="57"/>
      <c r="BF46" s="57"/>
      <c r="BG46" s="57"/>
      <c r="BH46" s="57"/>
      <c r="BI46" s="54"/>
      <c r="BJ46" s="53"/>
      <c r="BK46" s="53"/>
      <c r="BL46" s="59"/>
      <c r="BM46" s="59"/>
      <c r="BN46" s="59"/>
      <c r="BO46" s="59"/>
      <c r="BP46" s="60"/>
      <c r="BQ46" s="59"/>
      <c r="BR46" s="59"/>
      <c r="BS46" s="59"/>
      <c r="BT46" s="59"/>
      <c r="BU46" s="59"/>
      <c r="BV46" s="59"/>
      <c r="BW46" s="59"/>
      <c r="BX46" s="60"/>
      <c r="BY46" s="61" t="str">
        <f>BY3*60</f>
        <v>30</v>
      </c>
      <c r="BZ46" s="61"/>
      <c r="CA46" s="61"/>
      <c r="CB46" s="61"/>
      <c r="CC46" s="61"/>
      <c r="CD46" s="61"/>
      <c r="CE46" s="61"/>
      <c r="CF46" s="61"/>
      <c r="CG46" s="55"/>
      <c r="CH46" s="55"/>
      <c r="CI46" s="28"/>
      <c r="CJ46" s="49"/>
      <c r="CK46" s="50" t="str">
        <f t="shared" si="1"/>
        <v>30</v>
      </c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</row>
    <row r="47" ht="15.75" customHeight="1">
      <c r="A47" s="51" t="s">
        <v>175</v>
      </c>
      <c r="B47" s="52" t="s">
        <v>176</v>
      </c>
      <c r="C47" s="53"/>
      <c r="D47" s="54"/>
      <c r="E47" s="53"/>
      <c r="F47" s="54"/>
      <c r="G47" s="53"/>
      <c r="H47" s="53"/>
      <c r="I47" s="54"/>
      <c r="J47" s="53"/>
      <c r="K47" s="53"/>
      <c r="L47" s="54"/>
      <c r="M47" s="54"/>
      <c r="N47" s="54"/>
      <c r="O47" s="53"/>
      <c r="P47" s="53"/>
      <c r="Q47" s="53"/>
      <c r="R47" s="53"/>
      <c r="S47" s="54"/>
      <c r="T47" s="53"/>
      <c r="U47" s="54"/>
      <c r="V47" s="54"/>
      <c r="W47" s="42"/>
      <c r="X47" s="42"/>
      <c r="Y47" s="42"/>
      <c r="Z47" s="55"/>
      <c r="AA47" s="42"/>
      <c r="AB47" s="42"/>
      <c r="AC47" s="42"/>
      <c r="AD47" s="42"/>
      <c r="AE47" s="42"/>
      <c r="AF47" s="55"/>
      <c r="AG47" s="55"/>
      <c r="AH47" s="42"/>
      <c r="AI47" s="20"/>
      <c r="AJ47" s="56"/>
      <c r="AK47" s="42"/>
      <c r="AL47" s="42"/>
      <c r="AM47" s="55"/>
      <c r="AN47" s="42"/>
      <c r="AO47" s="42"/>
      <c r="AP47" s="42"/>
      <c r="AQ47" s="42"/>
      <c r="AR47" s="42"/>
      <c r="AS47" s="42"/>
      <c r="AT47" s="55"/>
      <c r="AU47" s="57"/>
      <c r="AV47" s="57"/>
      <c r="AW47" s="57"/>
      <c r="AX47" s="57"/>
      <c r="AY47" s="57"/>
      <c r="AZ47" s="57"/>
      <c r="BA47" s="57"/>
      <c r="BB47" s="58"/>
      <c r="BC47" s="57"/>
      <c r="BD47" s="58"/>
      <c r="BE47" s="57"/>
      <c r="BF47" s="57"/>
      <c r="BG47" s="57"/>
      <c r="BH47" s="57"/>
      <c r="BI47" s="54"/>
      <c r="BJ47" s="53"/>
      <c r="BK47" s="53"/>
      <c r="BL47" s="59" t="str">
        <f>BL3*27</f>
        <v>0</v>
      </c>
      <c r="BM47" s="59" t="str">
        <f>BM3*120</f>
        <v>0</v>
      </c>
      <c r="BN47" s="59"/>
      <c r="BO47" s="59"/>
      <c r="BP47" s="60"/>
      <c r="BQ47" s="59"/>
      <c r="BR47" s="59"/>
      <c r="BS47" s="59"/>
      <c r="BT47" s="59"/>
      <c r="BU47" s="59" t="str">
        <f>BU3*28.125</f>
        <v>14.0625</v>
      </c>
      <c r="BV47" s="59"/>
      <c r="BW47" s="59"/>
      <c r="BX47" s="60"/>
      <c r="BY47" s="61" t="str">
        <f>BY3*117.6</f>
        <v>58.8</v>
      </c>
      <c r="BZ47" s="61"/>
      <c r="CA47" s="61"/>
      <c r="CB47" s="61"/>
      <c r="CC47" s="61"/>
      <c r="CD47" s="61"/>
      <c r="CE47" s="61" t="str">
        <f>CE3*160</f>
        <v>0</v>
      </c>
      <c r="CF47" s="61"/>
      <c r="CG47" s="55"/>
      <c r="CH47" s="55"/>
      <c r="CI47" s="28"/>
      <c r="CJ47" s="49"/>
      <c r="CK47" s="50" t="str">
        <f t="shared" si="1"/>
        <v>72.8625</v>
      </c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</row>
    <row r="48" ht="15.75" customHeight="1">
      <c r="A48" s="62" t="s">
        <v>177</v>
      </c>
      <c r="B48" s="63" t="s">
        <v>178</v>
      </c>
      <c r="C48" s="53"/>
      <c r="D48" s="54"/>
      <c r="E48" s="53"/>
      <c r="F48" s="54"/>
      <c r="G48" s="53"/>
      <c r="H48" s="53"/>
      <c r="I48" s="54"/>
      <c r="J48" s="53"/>
      <c r="K48" s="53"/>
      <c r="L48" s="54"/>
      <c r="M48" s="54"/>
      <c r="N48" s="54"/>
      <c r="O48" s="53"/>
      <c r="P48" s="53"/>
      <c r="Q48" s="53"/>
      <c r="R48" s="53"/>
      <c r="S48" s="54"/>
      <c r="T48" s="53"/>
      <c r="U48" s="54"/>
      <c r="V48" s="54"/>
      <c r="W48" s="42"/>
      <c r="X48" s="42"/>
      <c r="Y48" s="42"/>
      <c r="Z48" s="55"/>
      <c r="AA48" s="42"/>
      <c r="AB48" s="42"/>
      <c r="AC48" s="42"/>
      <c r="AD48" s="42"/>
      <c r="AE48" s="42"/>
      <c r="AF48" s="55"/>
      <c r="AG48" s="55"/>
      <c r="AH48" s="42"/>
      <c r="AI48" s="20"/>
      <c r="AJ48" s="56"/>
      <c r="AK48" s="42"/>
      <c r="AL48" s="42"/>
      <c r="AM48" s="55"/>
      <c r="AN48" s="42"/>
      <c r="AO48" s="42"/>
      <c r="AP48" s="42"/>
      <c r="AQ48" s="42"/>
      <c r="AR48" s="42"/>
      <c r="AS48" s="42"/>
      <c r="AT48" s="55"/>
      <c r="AU48" s="57"/>
      <c r="AV48" s="57"/>
      <c r="AW48" s="57"/>
      <c r="AX48" s="57"/>
      <c r="AY48" s="57"/>
      <c r="AZ48" s="57"/>
      <c r="BA48" s="57"/>
      <c r="BB48" s="58"/>
      <c r="BC48" s="57"/>
      <c r="BD48" s="58"/>
      <c r="BE48" s="57"/>
      <c r="BF48" s="57"/>
      <c r="BG48" s="57"/>
      <c r="BH48" s="57"/>
      <c r="BI48" s="54"/>
      <c r="BJ48" s="53"/>
      <c r="BK48" s="53"/>
      <c r="BL48" s="59"/>
      <c r="BM48" s="59"/>
      <c r="BN48" s="59"/>
      <c r="BO48" s="59"/>
      <c r="BP48" s="60"/>
      <c r="BQ48" s="59"/>
      <c r="BR48" s="59"/>
      <c r="BS48" s="59"/>
      <c r="BT48" s="59"/>
      <c r="BU48" s="59"/>
      <c r="BV48" s="59"/>
      <c r="BW48" s="59"/>
      <c r="BX48" s="60"/>
      <c r="BY48" s="61"/>
      <c r="BZ48" s="61"/>
      <c r="CA48" s="61"/>
      <c r="CB48" s="61"/>
      <c r="CC48" s="61"/>
      <c r="CD48" s="61"/>
      <c r="CE48" s="61"/>
      <c r="CF48" s="61"/>
      <c r="CG48" s="55"/>
      <c r="CH48" s="55"/>
      <c r="CI48" s="28"/>
      <c r="CJ48" s="49"/>
      <c r="CK48" s="50" t="str">
        <f t="shared" si="1"/>
        <v>0</v>
      </c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</row>
    <row r="49" ht="15.75" customHeight="1">
      <c r="A49" s="51" t="s">
        <v>179</v>
      </c>
      <c r="B49" s="52" t="s">
        <v>180</v>
      </c>
      <c r="C49" s="53"/>
      <c r="D49" s="54"/>
      <c r="E49" s="53"/>
      <c r="F49" s="54"/>
      <c r="G49" s="53"/>
      <c r="H49" s="53"/>
      <c r="I49" s="54"/>
      <c r="J49" s="53"/>
      <c r="K49" s="53"/>
      <c r="L49" s="54"/>
      <c r="M49" s="54"/>
      <c r="N49" s="54"/>
      <c r="O49" s="53"/>
      <c r="P49" s="53"/>
      <c r="Q49" s="53"/>
      <c r="R49" s="53"/>
      <c r="S49" s="54"/>
      <c r="T49" s="53"/>
      <c r="U49" s="54"/>
      <c r="V49" s="54"/>
      <c r="W49" s="42"/>
      <c r="X49" s="42"/>
      <c r="Y49" s="42"/>
      <c r="Z49" s="55"/>
      <c r="AA49" s="42"/>
      <c r="AB49" s="42"/>
      <c r="AC49" s="42"/>
      <c r="AD49" s="42"/>
      <c r="AE49" s="42"/>
      <c r="AF49" s="55"/>
      <c r="AG49" s="55"/>
      <c r="AH49" s="42"/>
      <c r="AI49" s="20"/>
      <c r="AJ49" s="56"/>
      <c r="AK49" s="42"/>
      <c r="AL49" s="42"/>
      <c r="AM49" s="55"/>
      <c r="AN49" s="42"/>
      <c r="AO49" s="42"/>
      <c r="AP49" s="42"/>
      <c r="AQ49" s="42"/>
      <c r="AR49" s="42"/>
      <c r="AS49" s="42"/>
      <c r="AT49" s="55"/>
      <c r="AU49" s="57"/>
      <c r="AV49" s="57"/>
      <c r="AW49" s="57"/>
      <c r="AX49" s="57"/>
      <c r="AY49" s="57"/>
      <c r="AZ49" s="57"/>
      <c r="BA49" s="57"/>
      <c r="BB49" s="58"/>
      <c r="BC49" s="57"/>
      <c r="BD49" s="58"/>
      <c r="BE49" s="57"/>
      <c r="BF49" s="57"/>
      <c r="BG49" s="57"/>
      <c r="BH49" s="57"/>
      <c r="BI49" s="54"/>
      <c r="BJ49" s="53"/>
      <c r="BK49" s="53"/>
      <c r="BL49" s="59"/>
      <c r="BM49" s="59"/>
      <c r="BN49" s="59"/>
      <c r="BO49" s="59"/>
      <c r="BP49" s="60"/>
      <c r="BQ49" s="59"/>
      <c r="BR49" s="59"/>
      <c r="BS49" s="59"/>
      <c r="BT49" s="59"/>
      <c r="BU49" s="59"/>
      <c r="BV49" s="59"/>
      <c r="BW49" s="59"/>
      <c r="BX49" s="60"/>
      <c r="BY49" s="61"/>
      <c r="BZ49" s="61"/>
      <c r="CA49" s="61"/>
      <c r="CB49" s="61"/>
      <c r="CC49" s="61"/>
      <c r="CD49" s="61"/>
      <c r="CE49" s="61"/>
      <c r="CF49" s="61"/>
      <c r="CG49" s="55"/>
      <c r="CH49" s="55"/>
      <c r="CI49" s="28"/>
      <c r="CJ49" s="49"/>
      <c r="CK49" s="50" t="str">
        <f t="shared" si="1"/>
        <v>0</v>
      </c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</row>
    <row r="50" ht="15.75" customHeight="1">
      <c r="A50" s="62" t="s">
        <v>181</v>
      </c>
      <c r="B50" s="63" t="s">
        <v>182</v>
      </c>
      <c r="C50" s="53"/>
      <c r="D50" s="54"/>
      <c r="E50" s="53"/>
      <c r="F50" s="54"/>
      <c r="G50" s="53"/>
      <c r="H50" s="53"/>
      <c r="I50" s="54"/>
      <c r="J50" s="53"/>
      <c r="K50" s="53"/>
      <c r="L50" s="54"/>
      <c r="M50" s="54"/>
      <c r="N50" s="54"/>
      <c r="O50" s="53"/>
      <c r="P50" s="53"/>
      <c r="Q50" s="53"/>
      <c r="R50" s="53"/>
      <c r="S50" s="54"/>
      <c r="T50" s="53"/>
      <c r="U50" s="54"/>
      <c r="V50" s="54"/>
      <c r="W50" s="42"/>
      <c r="X50" s="42"/>
      <c r="Y50" s="42"/>
      <c r="Z50" s="55"/>
      <c r="AA50" s="42"/>
      <c r="AB50" s="42"/>
      <c r="AC50" s="42"/>
      <c r="AD50" s="42"/>
      <c r="AE50" s="42"/>
      <c r="AF50" s="55"/>
      <c r="AG50" s="55"/>
      <c r="AH50" s="42"/>
      <c r="AI50" s="20"/>
      <c r="AJ50" s="56"/>
      <c r="AK50" s="42"/>
      <c r="AL50" s="42"/>
      <c r="AM50" s="55"/>
      <c r="AN50" s="42"/>
      <c r="AO50" s="42"/>
      <c r="AP50" s="42"/>
      <c r="AQ50" s="42"/>
      <c r="AR50" s="42"/>
      <c r="AS50" s="42"/>
      <c r="AT50" s="55"/>
      <c r="AU50" s="57"/>
      <c r="AV50" s="57"/>
      <c r="AW50" s="57"/>
      <c r="AX50" s="57"/>
      <c r="AY50" s="57"/>
      <c r="AZ50" s="57"/>
      <c r="BA50" s="57"/>
      <c r="BB50" s="58"/>
      <c r="BC50" s="57"/>
      <c r="BD50" s="58"/>
      <c r="BE50" s="57"/>
      <c r="BF50" s="57"/>
      <c r="BG50" s="57"/>
      <c r="BH50" s="57"/>
      <c r="BI50" s="54"/>
      <c r="BJ50" s="53"/>
      <c r="BK50" s="53"/>
      <c r="BL50" s="59"/>
      <c r="BM50" s="59"/>
      <c r="BN50" s="59"/>
      <c r="BO50" s="59"/>
      <c r="BP50" s="60"/>
      <c r="BQ50" s="59"/>
      <c r="BR50" s="59"/>
      <c r="BS50" s="59"/>
      <c r="BT50" s="59"/>
      <c r="BU50" s="59"/>
      <c r="BV50" s="59"/>
      <c r="BW50" s="59"/>
      <c r="BX50" s="60"/>
      <c r="BY50" s="61"/>
      <c r="BZ50" s="61"/>
      <c r="CA50" s="61"/>
      <c r="CB50" s="61"/>
      <c r="CC50" s="61"/>
      <c r="CD50" s="61"/>
      <c r="CE50" s="61"/>
      <c r="CF50" s="61"/>
      <c r="CG50" s="55"/>
      <c r="CH50" s="55"/>
      <c r="CI50" s="28"/>
      <c r="CJ50" s="49"/>
      <c r="CK50" s="50" t="str">
        <f t="shared" si="1"/>
        <v>0</v>
      </c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</row>
    <row r="51" ht="15.75" customHeight="1">
      <c r="A51" s="51" t="s">
        <v>183</v>
      </c>
      <c r="B51" s="52" t="s">
        <v>184</v>
      </c>
      <c r="C51" s="53"/>
      <c r="D51" s="54"/>
      <c r="E51" s="53"/>
      <c r="F51" s="54"/>
      <c r="G51" s="53"/>
      <c r="H51" s="53"/>
      <c r="I51" s="54"/>
      <c r="J51" s="53"/>
      <c r="K51" s="53"/>
      <c r="L51" s="54"/>
      <c r="M51" s="54"/>
      <c r="N51" s="54"/>
      <c r="O51" s="53"/>
      <c r="P51" s="53"/>
      <c r="Q51" s="53"/>
      <c r="R51" s="53"/>
      <c r="S51" s="54"/>
      <c r="T51" s="53"/>
      <c r="U51" s="54"/>
      <c r="V51" s="54"/>
      <c r="W51" s="42"/>
      <c r="X51" s="42"/>
      <c r="Y51" s="42"/>
      <c r="Z51" s="55"/>
      <c r="AA51" s="42"/>
      <c r="AB51" s="42"/>
      <c r="AC51" s="42"/>
      <c r="AD51" s="42"/>
      <c r="AE51" s="42"/>
      <c r="AF51" s="55"/>
      <c r="AG51" s="55"/>
      <c r="AH51" s="42"/>
      <c r="AI51" s="20"/>
      <c r="AJ51" s="56"/>
      <c r="AK51" s="42"/>
      <c r="AL51" s="42"/>
      <c r="AM51" s="55"/>
      <c r="AN51" s="42"/>
      <c r="AO51" s="42"/>
      <c r="AP51" s="42"/>
      <c r="AQ51" s="42"/>
      <c r="AR51" s="42"/>
      <c r="AS51" s="42"/>
      <c r="AT51" s="55"/>
      <c r="AU51" s="57"/>
      <c r="AV51" s="57" t="str">
        <f>AV3*10</f>
        <v>0</v>
      </c>
      <c r="AW51" s="57"/>
      <c r="AX51" s="57"/>
      <c r="AY51" s="57"/>
      <c r="AZ51" s="57"/>
      <c r="BA51" s="57"/>
      <c r="BB51" s="58"/>
      <c r="BC51" s="57"/>
      <c r="BD51" s="58"/>
      <c r="BE51" s="57"/>
      <c r="BF51" s="57"/>
      <c r="BG51" s="57" t="str">
        <f t="shared" ref="BG51:BH51" si="9">BG3*10</f>
        <v>0</v>
      </c>
      <c r="BH51" s="57" t="str">
        <f t="shared" si="9"/>
        <v>0</v>
      </c>
      <c r="BI51" s="54"/>
      <c r="BJ51" s="53"/>
      <c r="BK51" s="53"/>
      <c r="BL51" s="59"/>
      <c r="BM51" s="59"/>
      <c r="BN51" s="59"/>
      <c r="BO51" s="59"/>
      <c r="BP51" s="60"/>
      <c r="BQ51" s="59"/>
      <c r="BR51" s="59"/>
      <c r="BS51" s="59"/>
      <c r="BT51" s="59"/>
      <c r="BU51" s="59"/>
      <c r="BV51" s="59"/>
      <c r="BW51" s="59"/>
      <c r="BX51" s="60"/>
      <c r="BY51" s="61"/>
      <c r="BZ51" s="61"/>
      <c r="CA51" s="61"/>
      <c r="CB51" s="61"/>
      <c r="CC51" s="61"/>
      <c r="CD51" s="61"/>
      <c r="CE51" s="61"/>
      <c r="CF51" s="61"/>
      <c r="CG51" s="55"/>
      <c r="CH51" s="55"/>
      <c r="CI51" s="28"/>
      <c r="CJ51" s="49"/>
      <c r="CK51" s="50" t="str">
        <f t="shared" si="1"/>
        <v>0</v>
      </c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</row>
    <row r="52" ht="15.75" customHeight="1">
      <c r="A52" s="62" t="s">
        <v>185</v>
      </c>
      <c r="B52" s="63" t="s">
        <v>186</v>
      </c>
      <c r="C52" s="53"/>
      <c r="D52" s="54"/>
      <c r="E52" s="53" t="str">
        <f>E3*140</f>
        <v>700</v>
      </c>
      <c r="F52" s="54"/>
      <c r="G52" s="53"/>
      <c r="H52" s="53" t="str">
        <f>H3*17</f>
        <v>17</v>
      </c>
      <c r="I52" s="54"/>
      <c r="J52" s="53" t="str">
        <f>J3*28</f>
        <v>0</v>
      </c>
      <c r="K52" s="53"/>
      <c r="L52" s="54"/>
      <c r="M52" s="54"/>
      <c r="N52" s="54"/>
      <c r="O52" s="53"/>
      <c r="P52" s="53"/>
      <c r="Q52" s="53"/>
      <c r="R52" s="53"/>
      <c r="S52" s="54"/>
      <c r="T52" s="53"/>
      <c r="U52" s="54" t="str">
        <f>40*U3</f>
        <v>0</v>
      </c>
      <c r="V52" s="54" t="str">
        <f>V3*40</f>
        <v>40</v>
      </c>
      <c r="W52" s="42"/>
      <c r="X52" s="42"/>
      <c r="Y52" s="42"/>
      <c r="Z52" s="55"/>
      <c r="AA52" s="42"/>
      <c r="AB52" s="42"/>
      <c r="AC52" s="42"/>
      <c r="AD52" s="42"/>
      <c r="AE52" s="42"/>
      <c r="AF52" s="55"/>
      <c r="AG52" s="55"/>
      <c r="AH52" s="42"/>
      <c r="AI52" s="20"/>
      <c r="AJ52" s="56"/>
      <c r="AK52" s="42"/>
      <c r="AL52" s="42"/>
      <c r="AM52" s="55" t="str">
        <f>AM3*104</f>
        <v>0</v>
      </c>
      <c r="AN52" s="42"/>
      <c r="AO52" s="42"/>
      <c r="AP52" s="42"/>
      <c r="AQ52" s="42"/>
      <c r="AR52" s="42"/>
      <c r="AS52" s="42"/>
      <c r="AT52" s="55"/>
      <c r="AU52" s="57" t="str">
        <f>AU3*180</f>
        <v>180</v>
      </c>
      <c r="AV52" s="57" t="str">
        <f>AV3*135</f>
        <v>0</v>
      </c>
      <c r="AW52" s="57" t="str">
        <f t="shared" ref="AW52:AX52" si="10">AW3*220</f>
        <v>0</v>
      </c>
      <c r="AX52" s="57" t="str">
        <f t="shared" si="10"/>
        <v>0</v>
      </c>
      <c r="AY52" s="57" t="str">
        <f>AY3*160</f>
        <v>80</v>
      </c>
      <c r="AZ52" s="57" t="str">
        <f>AZ3*109.2</f>
        <v>109.2</v>
      </c>
      <c r="BA52" s="57" t="str">
        <f>BA3*220</f>
        <v>0</v>
      </c>
      <c r="BB52" s="58" t="str">
        <f>BB3*140</f>
        <v>0</v>
      </c>
      <c r="BC52" s="57" t="str">
        <f>220*BC3</f>
        <v>0</v>
      </c>
      <c r="BD52" s="58"/>
      <c r="BE52" s="57" t="str">
        <f>BE3*160</f>
        <v>0</v>
      </c>
      <c r="BF52" s="57" t="str">
        <f>BF3*220</f>
        <v>0</v>
      </c>
      <c r="BG52" s="57" t="str">
        <f t="shared" ref="BG52:BH52" si="11">BG3*135</f>
        <v>0</v>
      </c>
      <c r="BH52" s="57" t="str">
        <f t="shared" si="11"/>
        <v>0</v>
      </c>
      <c r="BI52" s="54"/>
      <c r="BJ52" s="53"/>
      <c r="BK52" s="53"/>
      <c r="BL52" s="59"/>
      <c r="BM52" s="59"/>
      <c r="BN52" s="59"/>
      <c r="BO52" s="59"/>
      <c r="BP52" s="60" t="str">
        <f>4*BP3</f>
        <v>2</v>
      </c>
      <c r="BQ52" s="59" t="str">
        <f>BQ3*16</f>
        <v>0</v>
      </c>
      <c r="BR52" s="59"/>
      <c r="BS52" s="59"/>
      <c r="BT52" s="59"/>
      <c r="BU52" s="59"/>
      <c r="BV52" s="59"/>
      <c r="BW52" s="59"/>
      <c r="BX52" s="60" t="str">
        <f>43*BX3</f>
        <v>86</v>
      </c>
      <c r="BY52" s="61"/>
      <c r="BZ52" s="61" t="str">
        <f>BZ3*106.4</f>
        <v>0</v>
      </c>
      <c r="CA52" s="61"/>
      <c r="CB52" s="61" t="str">
        <f>CB3*104</f>
        <v>104</v>
      </c>
      <c r="CC52" s="61"/>
      <c r="CD52" s="61"/>
      <c r="CE52" s="61"/>
      <c r="CF52" s="61"/>
      <c r="CG52" s="55" t="str">
        <f>CG3*57.2</f>
        <v>57.2</v>
      </c>
      <c r="CH52" s="55"/>
      <c r="CI52" s="28" t="str">
        <f>CI3*33</f>
        <v>0</v>
      </c>
      <c r="CJ52" s="49"/>
      <c r="CK52" s="50" t="str">
        <f t="shared" si="1"/>
        <v>1375.4</v>
      </c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</row>
    <row r="53" ht="15.75" customHeight="1">
      <c r="A53" s="51" t="s">
        <v>187</v>
      </c>
      <c r="B53" s="52" t="s">
        <v>188</v>
      </c>
      <c r="C53" s="53"/>
      <c r="D53" s="54"/>
      <c r="E53" s="53"/>
      <c r="F53" s="54"/>
      <c r="G53" s="53"/>
      <c r="H53" s="53"/>
      <c r="I53" s="54"/>
      <c r="J53" s="53"/>
      <c r="K53" s="53"/>
      <c r="L53" s="54"/>
      <c r="M53" s="54"/>
      <c r="N53" s="54"/>
      <c r="O53" s="53"/>
      <c r="P53" s="53"/>
      <c r="Q53" s="53"/>
      <c r="R53" s="53"/>
      <c r="S53" s="54"/>
      <c r="T53" s="53"/>
      <c r="U53" s="54"/>
      <c r="V53" s="54"/>
      <c r="W53" s="42"/>
      <c r="X53" s="42"/>
      <c r="Y53" s="42"/>
      <c r="Z53" s="55"/>
      <c r="AA53" s="42"/>
      <c r="AB53" s="42"/>
      <c r="AC53" s="42"/>
      <c r="AD53" s="42"/>
      <c r="AE53" s="42"/>
      <c r="AF53" s="55"/>
      <c r="AG53" s="55"/>
      <c r="AH53" s="42"/>
      <c r="AI53" s="20"/>
      <c r="AJ53" s="56"/>
      <c r="AK53" s="42"/>
      <c r="AL53" s="42"/>
      <c r="AM53" s="55"/>
      <c r="AN53" s="42"/>
      <c r="AO53" s="42"/>
      <c r="AP53" s="42"/>
      <c r="AQ53" s="42"/>
      <c r="AR53" s="42"/>
      <c r="AS53" s="42"/>
      <c r="AT53" s="55"/>
      <c r="AU53" s="57"/>
      <c r="AV53" s="57"/>
      <c r="AW53" s="57" t="str">
        <f t="shared" ref="AW53:AX53" si="12">AW3*18</f>
        <v>0</v>
      </c>
      <c r="AX53" s="57" t="str">
        <f t="shared" si="12"/>
        <v>0</v>
      </c>
      <c r="AY53" s="57"/>
      <c r="AZ53" s="57" t="str">
        <f>AZ3*10</f>
        <v>10</v>
      </c>
      <c r="BA53" s="57" t="str">
        <f>BA3*18</f>
        <v>0</v>
      </c>
      <c r="BB53" s="58" t="str">
        <f>BB3*6</f>
        <v>0</v>
      </c>
      <c r="BC53" s="57" t="str">
        <f>18*BC3</f>
        <v>0</v>
      </c>
      <c r="BD53" s="58"/>
      <c r="BE53" s="57"/>
      <c r="BF53" s="57" t="str">
        <f>BF3*18</f>
        <v>0</v>
      </c>
      <c r="BG53" s="57" t="str">
        <f>BG3*21</f>
        <v>0</v>
      </c>
      <c r="BH53" s="57"/>
      <c r="BI53" s="54"/>
      <c r="BJ53" s="53"/>
      <c r="BK53" s="53"/>
      <c r="BL53" s="59"/>
      <c r="BM53" s="59"/>
      <c r="BN53" s="59"/>
      <c r="BO53" s="59"/>
      <c r="BP53" s="60"/>
      <c r="BQ53" s="59"/>
      <c r="BR53" s="59"/>
      <c r="BS53" s="59"/>
      <c r="BT53" s="59"/>
      <c r="BU53" s="59"/>
      <c r="BV53" s="59"/>
      <c r="BW53" s="59"/>
      <c r="BX53" s="60"/>
      <c r="BY53" s="61"/>
      <c r="BZ53" s="61"/>
      <c r="CA53" s="61"/>
      <c r="CB53" s="61"/>
      <c r="CC53" s="61"/>
      <c r="CD53" s="61"/>
      <c r="CE53" s="61"/>
      <c r="CF53" s="61"/>
      <c r="CG53" s="55"/>
      <c r="CH53" s="55"/>
      <c r="CI53" s="28"/>
      <c r="CJ53" s="49"/>
      <c r="CK53" s="50" t="str">
        <f t="shared" si="1"/>
        <v>10</v>
      </c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</row>
    <row r="54" ht="15.75" customHeight="1">
      <c r="A54" s="62" t="s">
        <v>189</v>
      </c>
      <c r="B54" s="63" t="s">
        <v>190</v>
      </c>
      <c r="C54" s="53"/>
      <c r="D54" s="54"/>
      <c r="E54" s="53"/>
      <c r="F54" s="54"/>
      <c r="G54" s="53"/>
      <c r="H54" s="53"/>
      <c r="I54" s="54"/>
      <c r="J54" s="53"/>
      <c r="K54" s="53"/>
      <c r="L54" s="54"/>
      <c r="M54" s="54"/>
      <c r="N54" s="54"/>
      <c r="O54" s="53"/>
      <c r="P54" s="53"/>
      <c r="Q54" s="53"/>
      <c r="R54" s="53"/>
      <c r="S54" s="54"/>
      <c r="T54" s="53"/>
      <c r="U54" s="54"/>
      <c r="V54" s="54"/>
      <c r="W54" s="42"/>
      <c r="X54" s="42"/>
      <c r="Y54" s="42"/>
      <c r="Z54" s="55" t="str">
        <f>Z3*19.5</f>
        <v>0</v>
      </c>
      <c r="AA54" s="42"/>
      <c r="AB54" s="42"/>
      <c r="AC54" s="42"/>
      <c r="AD54" s="42"/>
      <c r="AE54" s="42"/>
      <c r="AF54" s="55"/>
      <c r="AG54" s="55"/>
      <c r="AH54" s="42"/>
      <c r="AI54" s="20"/>
      <c r="AJ54" s="56"/>
      <c r="AK54" s="42"/>
      <c r="AL54" s="42"/>
      <c r="AM54" s="55"/>
      <c r="AN54" s="42"/>
      <c r="AO54" s="42"/>
      <c r="AP54" s="42"/>
      <c r="AQ54" s="42"/>
      <c r="AR54" s="42"/>
      <c r="AS54" s="42"/>
      <c r="AT54" s="55"/>
      <c r="AU54" s="57" t="str">
        <f>AU3*50</f>
        <v>50</v>
      </c>
      <c r="AV54" s="57" t="str">
        <f>AV3*40</f>
        <v>0</v>
      </c>
      <c r="AW54" s="57"/>
      <c r="AX54" s="57"/>
      <c r="AY54" s="57"/>
      <c r="AZ54" s="57"/>
      <c r="BA54" s="57"/>
      <c r="BB54" s="58"/>
      <c r="BC54" s="57"/>
      <c r="BD54" s="58"/>
      <c r="BE54" s="57"/>
      <c r="BF54" s="57"/>
      <c r="BG54" s="57" t="str">
        <f t="shared" ref="BG54:BH54" si="13">BG3*40</f>
        <v>0</v>
      </c>
      <c r="BH54" s="57" t="str">
        <f t="shared" si="13"/>
        <v>0</v>
      </c>
      <c r="BI54" s="54"/>
      <c r="BJ54" s="53"/>
      <c r="BK54" s="53"/>
      <c r="BL54" s="59"/>
      <c r="BM54" s="59"/>
      <c r="BN54" s="59"/>
      <c r="BO54" s="59"/>
      <c r="BP54" s="60"/>
      <c r="BQ54" s="59"/>
      <c r="BR54" s="59"/>
      <c r="BS54" s="59"/>
      <c r="BT54" s="59"/>
      <c r="BU54" s="59"/>
      <c r="BV54" s="59" t="str">
        <f>BV3*60</f>
        <v>60</v>
      </c>
      <c r="BW54" s="59"/>
      <c r="BX54" s="60"/>
      <c r="BY54" s="61"/>
      <c r="BZ54" s="61" t="str">
        <f>BZ3*60</f>
        <v>0</v>
      </c>
      <c r="CA54" s="61"/>
      <c r="CB54" s="61"/>
      <c r="CC54" s="61" t="str">
        <f>CC3*6</f>
        <v>0</v>
      </c>
      <c r="CD54" s="61" t="str">
        <f>CD3*2</f>
        <v>0</v>
      </c>
      <c r="CE54" s="61"/>
      <c r="CF54" s="61"/>
      <c r="CG54" s="55"/>
      <c r="CH54" s="55"/>
      <c r="CI54" s="28"/>
      <c r="CJ54" s="49"/>
      <c r="CK54" s="50" t="str">
        <f t="shared" si="1"/>
        <v>110</v>
      </c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</row>
    <row r="55" ht="15.75" customHeight="1">
      <c r="A55" s="51" t="s">
        <v>191</v>
      </c>
      <c r="B55" s="52" t="s">
        <v>192</v>
      </c>
      <c r="C55" s="53"/>
      <c r="D55" s="54"/>
      <c r="E55" s="53"/>
      <c r="F55" s="54"/>
      <c r="G55" s="53"/>
      <c r="H55" s="53"/>
      <c r="I55" s="54"/>
      <c r="J55" s="53"/>
      <c r="K55" s="53"/>
      <c r="L55" s="54"/>
      <c r="M55" s="54"/>
      <c r="N55" s="54"/>
      <c r="O55" s="53"/>
      <c r="P55" s="53"/>
      <c r="Q55" s="53"/>
      <c r="R55" s="53"/>
      <c r="S55" s="54"/>
      <c r="T55" s="53"/>
      <c r="U55" s="54"/>
      <c r="V55" s="54"/>
      <c r="W55" s="42"/>
      <c r="X55" s="42"/>
      <c r="Y55" s="42"/>
      <c r="Z55" s="55"/>
      <c r="AA55" s="42"/>
      <c r="AB55" s="42"/>
      <c r="AC55" s="42"/>
      <c r="AD55" s="42"/>
      <c r="AE55" s="42"/>
      <c r="AF55" s="55"/>
      <c r="AG55" s="55"/>
      <c r="AH55" s="42"/>
      <c r="AI55" s="20"/>
      <c r="AJ55" s="56"/>
      <c r="AK55" s="42"/>
      <c r="AL55" s="42"/>
      <c r="AM55" s="55"/>
      <c r="AN55" s="42"/>
      <c r="AO55" s="42"/>
      <c r="AP55" s="42"/>
      <c r="AQ55" s="42"/>
      <c r="AR55" s="42"/>
      <c r="AS55" s="42"/>
      <c r="AT55" s="55"/>
      <c r="AU55" s="57" t="str">
        <f t="shared" ref="AU55:AV55" si="14">AU3*6</f>
        <v>6</v>
      </c>
      <c r="AV55" s="57" t="str">
        <f t="shared" si="14"/>
        <v>0</v>
      </c>
      <c r="AW55" s="57"/>
      <c r="AX55" s="57"/>
      <c r="AY55" s="57" t="str">
        <f>AY3*6</f>
        <v>3</v>
      </c>
      <c r="AZ55" s="57"/>
      <c r="BA55" s="57"/>
      <c r="BB55" s="58" t="str">
        <f>BB3*6</f>
        <v>0</v>
      </c>
      <c r="BC55" s="57"/>
      <c r="BD55" s="58"/>
      <c r="BE55" s="57" t="str">
        <f>BE3*6</f>
        <v>0</v>
      </c>
      <c r="BF55" s="57"/>
      <c r="BG55" s="57" t="str">
        <f t="shared" ref="BG55:BH55" si="15">BG3*6</f>
        <v>0</v>
      </c>
      <c r="BH55" s="57" t="str">
        <f t="shared" si="15"/>
        <v>0</v>
      </c>
      <c r="BI55" s="54"/>
      <c r="BJ55" s="53"/>
      <c r="BK55" s="53"/>
      <c r="BL55" s="59"/>
      <c r="BM55" s="59"/>
      <c r="BN55" s="59"/>
      <c r="BO55" s="59"/>
      <c r="BP55" s="60"/>
      <c r="BQ55" s="59"/>
      <c r="BR55" s="59"/>
      <c r="BS55" s="59"/>
      <c r="BT55" s="59"/>
      <c r="BU55" s="59"/>
      <c r="BV55" s="59"/>
      <c r="BW55" s="59"/>
      <c r="BX55" s="60"/>
      <c r="BY55" s="61"/>
      <c r="BZ55" s="61"/>
      <c r="CA55" s="61"/>
      <c r="CB55" s="61"/>
      <c r="CC55" s="61"/>
      <c r="CD55" s="61"/>
      <c r="CE55" s="61"/>
      <c r="CF55" s="61"/>
      <c r="CG55" s="55"/>
      <c r="CH55" s="55"/>
      <c r="CI55" s="28"/>
      <c r="CJ55" s="49"/>
      <c r="CK55" s="50" t="str">
        <f t="shared" si="1"/>
        <v>9</v>
      </c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</row>
    <row r="56" ht="15.75" customHeight="1">
      <c r="A56" s="62" t="s">
        <v>193</v>
      </c>
      <c r="B56" s="63" t="s">
        <v>194</v>
      </c>
      <c r="C56" s="53"/>
      <c r="D56" s="54"/>
      <c r="E56" s="53"/>
      <c r="F56" s="54"/>
      <c r="G56" s="53"/>
      <c r="H56" s="53"/>
      <c r="I56" s="54"/>
      <c r="J56" s="53"/>
      <c r="K56" s="53"/>
      <c r="L56" s="54"/>
      <c r="M56" s="54"/>
      <c r="N56" s="54"/>
      <c r="O56" s="53"/>
      <c r="P56" s="53"/>
      <c r="Q56" s="53"/>
      <c r="R56" s="53"/>
      <c r="S56" s="54"/>
      <c r="T56" s="53"/>
      <c r="U56" s="54"/>
      <c r="V56" s="54"/>
      <c r="W56" s="42"/>
      <c r="X56" s="42"/>
      <c r="Y56" s="42"/>
      <c r="Z56" s="55"/>
      <c r="AA56" s="42"/>
      <c r="AB56" s="42"/>
      <c r="AC56" s="42"/>
      <c r="AD56" s="42"/>
      <c r="AE56" s="42"/>
      <c r="AF56" s="55"/>
      <c r="AG56" s="55"/>
      <c r="AH56" s="42"/>
      <c r="AI56" s="20"/>
      <c r="AJ56" s="56"/>
      <c r="AK56" s="42"/>
      <c r="AL56" s="42"/>
      <c r="AM56" s="55"/>
      <c r="AN56" s="42"/>
      <c r="AO56" s="42"/>
      <c r="AP56" s="42"/>
      <c r="AQ56" s="42"/>
      <c r="AR56" s="42"/>
      <c r="AS56" s="42"/>
      <c r="AT56" s="55"/>
      <c r="AU56" s="57"/>
      <c r="AV56" s="57"/>
      <c r="AW56" s="57"/>
      <c r="AX56" s="57"/>
      <c r="AY56" s="57"/>
      <c r="AZ56" s="57"/>
      <c r="BA56" s="57"/>
      <c r="BB56" s="58"/>
      <c r="BC56" s="57"/>
      <c r="BD56" s="58"/>
      <c r="BE56" s="57"/>
      <c r="BF56" s="57"/>
      <c r="BG56" s="57"/>
      <c r="BH56" s="57" t="str">
        <f>BH3*6</f>
        <v>0</v>
      </c>
      <c r="BI56" s="54"/>
      <c r="BJ56" s="53"/>
      <c r="BK56" s="53"/>
      <c r="BL56" s="59"/>
      <c r="BM56" s="59"/>
      <c r="BN56" s="59"/>
      <c r="BO56" s="59"/>
      <c r="BP56" s="60"/>
      <c r="BQ56" s="59"/>
      <c r="BR56" s="59"/>
      <c r="BS56" s="59"/>
      <c r="BT56" s="59"/>
      <c r="BU56" s="59"/>
      <c r="BV56" s="59"/>
      <c r="BW56" s="59"/>
      <c r="BX56" s="60"/>
      <c r="BY56" s="61"/>
      <c r="BZ56" s="61"/>
      <c r="CA56" s="61"/>
      <c r="CB56" s="61"/>
      <c r="CC56" s="61"/>
      <c r="CD56" s="61"/>
      <c r="CE56" s="61"/>
      <c r="CF56" s="61"/>
      <c r="CG56" s="55"/>
      <c r="CH56" s="55"/>
      <c r="CI56" s="28"/>
      <c r="CJ56" s="49"/>
      <c r="CK56" s="50" t="str">
        <f t="shared" si="1"/>
        <v>0</v>
      </c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</row>
    <row r="57" ht="15.75" customHeight="1">
      <c r="A57" s="51" t="s">
        <v>195</v>
      </c>
      <c r="B57" s="52" t="s">
        <v>196</v>
      </c>
      <c r="C57" s="53"/>
      <c r="D57" s="54"/>
      <c r="E57" s="53"/>
      <c r="F57" s="54"/>
      <c r="G57" s="53"/>
      <c r="H57" s="53"/>
      <c r="I57" s="54"/>
      <c r="J57" s="53"/>
      <c r="K57" s="53"/>
      <c r="L57" s="54"/>
      <c r="M57" s="54"/>
      <c r="N57" s="54"/>
      <c r="O57" s="53"/>
      <c r="P57" s="53"/>
      <c r="Q57" s="53"/>
      <c r="R57" s="53"/>
      <c r="S57" s="54"/>
      <c r="T57" s="53"/>
      <c r="U57" s="54"/>
      <c r="V57" s="54"/>
      <c r="W57" s="42"/>
      <c r="X57" s="42"/>
      <c r="Y57" s="42"/>
      <c r="Z57" s="55"/>
      <c r="AA57" s="42"/>
      <c r="AB57" s="42"/>
      <c r="AC57" s="42"/>
      <c r="AD57" s="42"/>
      <c r="AE57" s="42"/>
      <c r="AF57" s="55"/>
      <c r="AG57" s="55"/>
      <c r="AH57" s="42"/>
      <c r="AI57" s="20"/>
      <c r="AJ57" s="56"/>
      <c r="AK57" s="42"/>
      <c r="AL57" s="42"/>
      <c r="AM57" s="55"/>
      <c r="AN57" s="42"/>
      <c r="AO57" s="42"/>
      <c r="AP57" s="42"/>
      <c r="AQ57" s="42"/>
      <c r="AR57" s="42"/>
      <c r="AS57" s="42"/>
      <c r="AT57" s="55"/>
      <c r="AU57" s="57"/>
      <c r="AV57" s="57"/>
      <c r="AW57" s="57"/>
      <c r="AX57" s="57"/>
      <c r="AY57" s="57"/>
      <c r="AZ57" s="57"/>
      <c r="BA57" s="57"/>
      <c r="BB57" s="58"/>
      <c r="BC57" s="57"/>
      <c r="BD57" s="58"/>
      <c r="BE57" s="57"/>
      <c r="BF57" s="57"/>
      <c r="BG57" s="57"/>
      <c r="BH57" s="57"/>
      <c r="BI57" s="54"/>
      <c r="BJ57" s="53"/>
      <c r="BK57" s="53"/>
      <c r="BL57" s="59"/>
      <c r="BM57" s="59"/>
      <c r="BN57" s="59"/>
      <c r="BO57" s="59"/>
      <c r="BP57" s="60"/>
      <c r="BQ57" s="59"/>
      <c r="BR57" s="59"/>
      <c r="BS57" s="59"/>
      <c r="BT57" s="59"/>
      <c r="BU57" s="59"/>
      <c r="BV57" s="59"/>
      <c r="BW57" s="59"/>
      <c r="BX57" s="60"/>
      <c r="BY57" s="61"/>
      <c r="BZ57" s="61"/>
      <c r="CA57" s="61" t="str">
        <f>0.11*CA3</f>
        <v>0.11</v>
      </c>
      <c r="CB57" s="61"/>
      <c r="CC57" s="61"/>
      <c r="CD57" s="61"/>
      <c r="CE57" s="61"/>
      <c r="CF57" s="61"/>
      <c r="CG57" s="55"/>
      <c r="CH57" s="55"/>
      <c r="CI57" s="28"/>
      <c r="CJ57" s="49"/>
      <c r="CK57" s="50" t="str">
        <f t="shared" si="1"/>
        <v>0.11</v>
      </c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</row>
    <row r="58" ht="15.75" customHeight="1">
      <c r="A58" s="62" t="s">
        <v>197</v>
      </c>
      <c r="B58" s="63" t="s">
        <v>198</v>
      </c>
      <c r="C58" s="53"/>
      <c r="D58" s="54"/>
      <c r="E58" s="53"/>
      <c r="F58" s="54"/>
      <c r="G58" s="53"/>
      <c r="H58" s="53"/>
      <c r="I58" s="54"/>
      <c r="J58" s="53"/>
      <c r="K58" s="53"/>
      <c r="L58" s="54"/>
      <c r="M58" s="54"/>
      <c r="N58" s="54"/>
      <c r="O58" s="53"/>
      <c r="P58" s="53"/>
      <c r="Q58" s="53"/>
      <c r="R58" s="53"/>
      <c r="S58" s="54"/>
      <c r="T58" s="53"/>
      <c r="U58" s="54"/>
      <c r="V58" s="54"/>
      <c r="W58" s="42"/>
      <c r="X58" s="42"/>
      <c r="Y58" s="42"/>
      <c r="Z58" s="55"/>
      <c r="AA58" s="42"/>
      <c r="AB58" s="42"/>
      <c r="AC58" s="42"/>
      <c r="AD58" s="42"/>
      <c r="AE58" s="42"/>
      <c r="AF58" s="55"/>
      <c r="AG58" s="55"/>
      <c r="AH58" s="42"/>
      <c r="AI58" s="20"/>
      <c r="AJ58" s="56"/>
      <c r="AK58" s="42"/>
      <c r="AL58" s="42"/>
      <c r="AM58" s="55"/>
      <c r="AN58" s="42"/>
      <c r="AO58" s="42"/>
      <c r="AP58" s="42"/>
      <c r="AQ58" s="42"/>
      <c r="AR58" s="42"/>
      <c r="AS58" s="42"/>
      <c r="AT58" s="55"/>
      <c r="AU58" s="57"/>
      <c r="AV58" s="57"/>
      <c r="AW58" s="57"/>
      <c r="AX58" s="57"/>
      <c r="AY58" s="57"/>
      <c r="AZ58" s="57"/>
      <c r="BA58" s="57"/>
      <c r="BB58" s="58"/>
      <c r="BC58" s="57"/>
      <c r="BD58" s="58"/>
      <c r="BE58" s="57"/>
      <c r="BF58" s="57"/>
      <c r="BG58" s="57"/>
      <c r="BH58" s="57"/>
      <c r="BI58" s="54"/>
      <c r="BJ58" s="53"/>
      <c r="BK58" s="53"/>
      <c r="BL58" s="59"/>
      <c r="BM58" s="59"/>
      <c r="BN58" s="59"/>
      <c r="BO58" s="59"/>
      <c r="BP58" s="60"/>
      <c r="BQ58" s="59"/>
      <c r="BR58" s="59"/>
      <c r="BS58" s="59"/>
      <c r="BT58" s="59"/>
      <c r="BU58" s="59"/>
      <c r="BV58" s="59"/>
      <c r="BW58" s="59"/>
      <c r="BX58" s="60"/>
      <c r="BY58" s="61"/>
      <c r="BZ58" s="61"/>
      <c r="CA58" s="61"/>
      <c r="CB58" s="61"/>
      <c r="CC58" s="61"/>
      <c r="CD58" s="61"/>
      <c r="CE58" s="61"/>
      <c r="CF58" s="61"/>
      <c r="CG58" s="55"/>
      <c r="CH58" s="55"/>
      <c r="CI58" s="28"/>
      <c r="CJ58" s="49"/>
      <c r="CK58" s="50" t="str">
        <f t="shared" si="1"/>
        <v>0</v>
      </c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</row>
    <row r="59" ht="15.75" customHeight="1">
      <c r="A59" s="51" t="s">
        <v>199</v>
      </c>
      <c r="B59" s="52" t="s">
        <v>200</v>
      </c>
      <c r="C59" s="53"/>
      <c r="D59" s="54"/>
      <c r="E59" s="53"/>
      <c r="F59" s="54"/>
      <c r="G59" s="53"/>
      <c r="H59" s="53"/>
      <c r="I59" s="54"/>
      <c r="J59" s="53"/>
      <c r="K59" s="53"/>
      <c r="L59" s="54"/>
      <c r="M59" s="54"/>
      <c r="N59" s="54"/>
      <c r="O59" s="53"/>
      <c r="P59" s="53"/>
      <c r="Q59" s="53"/>
      <c r="R59" s="53"/>
      <c r="S59" s="54"/>
      <c r="T59" s="53"/>
      <c r="U59" s="54"/>
      <c r="V59" s="54"/>
      <c r="W59" s="42"/>
      <c r="X59" s="42"/>
      <c r="Y59" s="42"/>
      <c r="Z59" s="55"/>
      <c r="AA59" s="42"/>
      <c r="AB59" s="42"/>
      <c r="AC59" s="42"/>
      <c r="AD59" s="42"/>
      <c r="AE59" s="42"/>
      <c r="AF59" s="55"/>
      <c r="AG59" s="55"/>
      <c r="AH59" s="42"/>
      <c r="AI59" s="20"/>
      <c r="AJ59" s="56"/>
      <c r="AK59" s="42"/>
      <c r="AL59" s="42"/>
      <c r="AM59" s="55"/>
      <c r="AN59" s="42"/>
      <c r="AO59" s="42"/>
      <c r="AP59" s="42" t="str">
        <f>AP3*89.44</f>
        <v>0</v>
      </c>
      <c r="AQ59" s="42"/>
      <c r="AR59" s="42"/>
      <c r="AS59" s="42"/>
      <c r="AT59" s="55"/>
      <c r="AU59" s="57" t="str">
        <f>AU3*2</f>
        <v>2</v>
      </c>
      <c r="AV59" s="57" t="str">
        <f>AV3*10</f>
        <v>0</v>
      </c>
      <c r="AW59" s="57" t="str">
        <f t="shared" ref="AW59:AX59" si="16">AW3*60</f>
        <v>0</v>
      </c>
      <c r="AX59" s="57" t="str">
        <f t="shared" si="16"/>
        <v>0</v>
      </c>
      <c r="AY59" s="57" t="str">
        <f>AY3*10</f>
        <v>5</v>
      </c>
      <c r="AZ59" s="57"/>
      <c r="BA59" s="57" t="str">
        <f>BA3*60</f>
        <v>0</v>
      </c>
      <c r="BB59" s="58" t="str">
        <f>BB3*2</f>
        <v>0</v>
      </c>
      <c r="BC59" s="57" t="str">
        <f>60*BC3</f>
        <v>0</v>
      </c>
      <c r="BD59" s="58" t="str">
        <f>BD3*3.527</f>
        <v>0</v>
      </c>
      <c r="BE59" s="57" t="str">
        <f>BE3*10</f>
        <v>0</v>
      </c>
      <c r="BF59" s="57" t="str">
        <f>BF3*60</f>
        <v>0</v>
      </c>
      <c r="BG59" s="57" t="str">
        <f t="shared" ref="BG59:BH59" si="17">BG3*10</f>
        <v>0</v>
      </c>
      <c r="BH59" s="57" t="str">
        <f t="shared" si="17"/>
        <v>0</v>
      </c>
      <c r="BI59" s="54" t="str">
        <f>20*BI3</f>
        <v>0</v>
      </c>
      <c r="BJ59" s="53" t="str">
        <f>BJ3*3.52</f>
        <v>3.52</v>
      </c>
      <c r="BK59" s="53" t="str">
        <f>BK3*20</f>
        <v>0</v>
      </c>
      <c r="BL59" s="59"/>
      <c r="BM59" s="59"/>
      <c r="BN59" s="59"/>
      <c r="BO59" s="59"/>
      <c r="BP59" s="60"/>
      <c r="BQ59" s="59"/>
      <c r="BR59" s="59"/>
      <c r="BS59" s="59"/>
      <c r="BT59" s="59"/>
      <c r="BU59" s="59"/>
      <c r="BV59" s="59"/>
      <c r="BW59" s="59"/>
      <c r="BX59" s="60"/>
      <c r="BY59" s="61"/>
      <c r="BZ59" s="61"/>
      <c r="CA59" s="61"/>
      <c r="CB59" s="61"/>
      <c r="CC59" s="61"/>
      <c r="CD59" s="61"/>
      <c r="CE59" s="61"/>
      <c r="CF59" s="61"/>
      <c r="CG59" s="55"/>
      <c r="CH59" s="55"/>
      <c r="CI59" s="28"/>
      <c r="CJ59" s="49"/>
      <c r="CK59" s="50" t="str">
        <f t="shared" si="1"/>
        <v>10.52</v>
      </c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</row>
    <row r="60" ht="15.75" customHeight="1">
      <c r="A60" s="62" t="s">
        <v>201</v>
      </c>
      <c r="B60" s="63" t="s">
        <v>202</v>
      </c>
      <c r="C60" s="53"/>
      <c r="D60" s="54"/>
      <c r="E60" s="53"/>
      <c r="F60" s="54"/>
      <c r="G60" s="53"/>
      <c r="H60" s="53"/>
      <c r="I60" s="54"/>
      <c r="J60" s="53"/>
      <c r="K60" s="53"/>
      <c r="L60" s="54"/>
      <c r="M60" s="54"/>
      <c r="N60" s="54"/>
      <c r="O60" s="53"/>
      <c r="P60" s="53"/>
      <c r="Q60" s="53"/>
      <c r="R60" s="53"/>
      <c r="S60" s="54"/>
      <c r="T60" s="53"/>
      <c r="U60" s="54"/>
      <c r="V60" s="54"/>
      <c r="W60" s="42"/>
      <c r="X60" s="42"/>
      <c r="Y60" s="42"/>
      <c r="Z60" s="55"/>
      <c r="AA60" s="42"/>
      <c r="AB60" s="42"/>
      <c r="AC60" s="42"/>
      <c r="AD60" s="42"/>
      <c r="AE60" s="42"/>
      <c r="AF60" s="55"/>
      <c r="AG60" s="55"/>
      <c r="AH60" s="42"/>
      <c r="AI60" s="20"/>
      <c r="AJ60" s="56"/>
      <c r="AK60" s="42"/>
      <c r="AL60" s="42"/>
      <c r="AM60" s="55"/>
      <c r="AN60" s="42"/>
      <c r="AO60" s="42"/>
      <c r="AP60" s="42"/>
      <c r="AQ60" s="42"/>
      <c r="AR60" s="42"/>
      <c r="AS60" s="42"/>
      <c r="AT60" s="55"/>
      <c r="AU60" s="57"/>
      <c r="AV60" s="57"/>
      <c r="AW60" s="57"/>
      <c r="AX60" s="57"/>
      <c r="AY60" s="57"/>
      <c r="AZ60" s="57"/>
      <c r="BA60" s="57"/>
      <c r="BB60" s="58"/>
      <c r="BC60" s="57"/>
      <c r="BD60" s="58"/>
      <c r="BE60" s="57"/>
      <c r="BF60" s="57"/>
      <c r="BG60" s="57"/>
      <c r="BH60" s="57"/>
      <c r="BI60" s="54" t="str">
        <f>1.65*BI3</f>
        <v>0</v>
      </c>
      <c r="BJ60" s="53"/>
      <c r="BK60" s="53" t="str">
        <f>BK3*1.65</f>
        <v>0</v>
      </c>
      <c r="BL60" s="59"/>
      <c r="BM60" s="59"/>
      <c r="BN60" s="59"/>
      <c r="BO60" s="59"/>
      <c r="BP60" s="60"/>
      <c r="BQ60" s="59"/>
      <c r="BR60" s="59"/>
      <c r="BS60" s="59"/>
      <c r="BT60" s="59"/>
      <c r="BU60" s="59"/>
      <c r="BV60" s="59"/>
      <c r="BW60" s="59"/>
      <c r="BX60" s="60"/>
      <c r="BY60" s="61"/>
      <c r="BZ60" s="61"/>
      <c r="CA60" s="61"/>
      <c r="CB60" s="61"/>
      <c r="CC60" s="61"/>
      <c r="CD60" s="61"/>
      <c r="CE60" s="61"/>
      <c r="CF60" s="61"/>
      <c r="CG60" s="55"/>
      <c r="CH60" s="55"/>
      <c r="CI60" s="28"/>
      <c r="CJ60" s="49"/>
      <c r="CK60" s="50" t="str">
        <f t="shared" si="1"/>
        <v>0</v>
      </c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</row>
    <row r="61" ht="15.75" customHeight="1">
      <c r="A61" s="51" t="s">
        <v>203</v>
      </c>
      <c r="B61" s="52" t="s">
        <v>204</v>
      </c>
      <c r="C61" s="53"/>
      <c r="D61" s="54" t="str">
        <f>38.4*D3</f>
        <v>115.2</v>
      </c>
      <c r="E61" s="53"/>
      <c r="F61" s="54"/>
      <c r="G61" s="53"/>
      <c r="H61" s="53"/>
      <c r="I61" s="54"/>
      <c r="J61" s="53"/>
      <c r="K61" s="53"/>
      <c r="L61" s="54"/>
      <c r="M61" s="54"/>
      <c r="N61" s="54"/>
      <c r="O61" s="53"/>
      <c r="P61" s="53"/>
      <c r="Q61" s="53"/>
      <c r="R61" s="53"/>
      <c r="S61" s="54"/>
      <c r="T61" s="53"/>
      <c r="U61" s="54"/>
      <c r="V61" s="54"/>
      <c r="W61" s="42"/>
      <c r="X61" s="42"/>
      <c r="Y61" s="42"/>
      <c r="Z61" s="55"/>
      <c r="AA61" s="42" t="str">
        <f>25*AA3</f>
        <v>50</v>
      </c>
      <c r="AB61" s="42"/>
      <c r="AC61" s="42"/>
      <c r="AD61" s="42"/>
      <c r="AE61" s="42"/>
      <c r="AF61" s="55"/>
      <c r="AG61" s="55"/>
      <c r="AH61" s="42"/>
      <c r="AI61" s="20"/>
      <c r="AJ61" s="56" t="str">
        <f>200*AJ3</f>
        <v>200</v>
      </c>
      <c r="AK61" s="42"/>
      <c r="AL61" s="42"/>
      <c r="AM61" s="55"/>
      <c r="AN61" s="42"/>
      <c r="AO61" s="42"/>
      <c r="AP61" s="42"/>
      <c r="AQ61" s="42"/>
      <c r="AR61" s="42"/>
      <c r="AS61" s="42"/>
      <c r="AT61" s="55"/>
      <c r="AU61" s="57"/>
      <c r="AV61" s="57"/>
      <c r="AW61" s="57"/>
      <c r="AX61" s="57"/>
      <c r="AY61" s="57"/>
      <c r="AZ61" s="57"/>
      <c r="BA61" s="57"/>
      <c r="BB61" s="58"/>
      <c r="BC61" s="57"/>
      <c r="BD61" s="58"/>
      <c r="BE61" s="57"/>
      <c r="BF61" s="57"/>
      <c r="BG61" s="57"/>
      <c r="BH61" s="57"/>
      <c r="BI61" s="54"/>
      <c r="BJ61" s="53"/>
      <c r="BK61" s="53"/>
      <c r="BL61" s="59"/>
      <c r="BM61" s="59"/>
      <c r="BN61" s="59"/>
      <c r="BO61" s="59"/>
      <c r="BP61" s="60"/>
      <c r="BQ61" s="59"/>
      <c r="BR61" s="59"/>
      <c r="BS61" s="59"/>
      <c r="BT61" s="59"/>
      <c r="BU61" s="59"/>
      <c r="BV61" s="59"/>
      <c r="BW61" s="59"/>
      <c r="BX61" s="60"/>
      <c r="BY61" s="61"/>
      <c r="BZ61" s="61"/>
      <c r="CA61" s="61"/>
      <c r="CB61" s="61"/>
      <c r="CC61" s="61"/>
      <c r="CD61" s="61"/>
      <c r="CE61" s="61"/>
      <c r="CF61" s="61"/>
      <c r="CG61" s="55"/>
      <c r="CH61" s="55"/>
      <c r="CI61" s="28"/>
      <c r="CJ61" s="49"/>
      <c r="CK61" s="50" t="str">
        <f t="shared" si="1"/>
        <v>365.2</v>
      </c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</row>
    <row r="62" ht="15.75" customHeight="1">
      <c r="A62" s="63" t="s">
        <v>205</v>
      </c>
      <c r="B62" s="63" t="s">
        <v>206</v>
      </c>
      <c r="C62" s="53"/>
      <c r="D62" s="54"/>
      <c r="E62" s="53"/>
      <c r="F62" s="54"/>
      <c r="G62" s="53"/>
      <c r="H62" s="53"/>
      <c r="I62" s="54"/>
      <c r="J62" s="53"/>
      <c r="K62" s="53"/>
      <c r="L62" s="54" t="str">
        <f>60.4*L3</f>
        <v>60.4</v>
      </c>
      <c r="M62" s="54"/>
      <c r="N62" s="54"/>
      <c r="O62" s="53" t="str">
        <f>O3*40</f>
        <v>0</v>
      </c>
      <c r="P62" s="53"/>
      <c r="Q62" s="53"/>
      <c r="R62" s="53"/>
      <c r="S62" s="54"/>
      <c r="T62" s="53"/>
      <c r="U62" s="54"/>
      <c r="V62" s="54"/>
      <c r="W62" s="42"/>
      <c r="X62" s="42"/>
      <c r="Y62" s="42"/>
      <c r="Z62" s="55"/>
      <c r="AA62" s="42"/>
      <c r="AB62" s="42"/>
      <c r="AC62" s="42"/>
      <c r="AD62" s="42"/>
      <c r="AE62" s="42" t="str">
        <f>144*AE3</f>
        <v>144</v>
      </c>
      <c r="AF62" s="55"/>
      <c r="AG62" s="55"/>
      <c r="AH62" s="42"/>
      <c r="AI62" s="20"/>
      <c r="AJ62" s="56"/>
      <c r="AK62" s="42"/>
      <c r="AL62" s="42"/>
      <c r="AM62" s="55"/>
      <c r="AN62" s="42"/>
      <c r="AO62" s="42"/>
      <c r="AP62" s="42"/>
      <c r="AQ62" s="42"/>
      <c r="AR62" s="42"/>
      <c r="AS62" s="42"/>
      <c r="AT62" s="55"/>
      <c r="AU62" s="57"/>
      <c r="AV62" s="57"/>
      <c r="AW62" s="57"/>
      <c r="AX62" s="57"/>
      <c r="AY62" s="57"/>
      <c r="AZ62" s="57"/>
      <c r="BA62" s="57"/>
      <c r="BB62" s="58"/>
      <c r="BC62" s="57"/>
      <c r="BD62" s="58"/>
      <c r="BE62" s="57"/>
      <c r="BF62" s="57"/>
      <c r="BG62" s="57"/>
      <c r="BH62" s="57"/>
      <c r="BI62" s="54"/>
      <c r="BJ62" s="53"/>
      <c r="BK62" s="53"/>
      <c r="BL62" s="59"/>
      <c r="BM62" s="59"/>
      <c r="BN62" s="59"/>
      <c r="BO62" s="59"/>
      <c r="BP62" s="60"/>
      <c r="BQ62" s="59"/>
      <c r="BR62" s="59"/>
      <c r="BS62" s="59"/>
      <c r="BT62" s="59"/>
      <c r="BU62" s="59"/>
      <c r="BV62" s="59"/>
      <c r="BW62" s="59"/>
      <c r="BX62" s="60"/>
      <c r="BY62" s="61"/>
      <c r="BZ62" s="61"/>
      <c r="CA62" s="61"/>
      <c r="CB62" s="61"/>
      <c r="CC62" s="61"/>
      <c r="CD62" s="61"/>
      <c r="CE62" s="61"/>
      <c r="CF62" s="61"/>
      <c r="CG62" s="55"/>
      <c r="CH62" s="55"/>
      <c r="CI62" s="28"/>
      <c r="CJ62" s="49"/>
      <c r="CK62" s="50" t="str">
        <f t="shared" si="1"/>
        <v>204.4</v>
      </c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</row>
    <row r="63" ht="15.75" customHeight="1">
      <c r="A63" s="51" t="s">
        <v>207</v>
      </c>
      <c r="B63" s="52" t="s">
        <v>208</v>
      </c>
      <c r="C63" s="53"/>
      <c r="D63" s="54"/>
      <c r="E63" s="53"/>
      <c r="F63" s="54"/>
      <c r="G63" s="53"/>
      <c r="H63" s="53"/>
      <c r="I63" s="54"/>
      <c r="J63" s="53"/>
      <c r="K63" s="53"/>
      <c r="L63" s="54"/>
      <c r="M63" s="54"/>
      <c r="N63" s="54"/>
      <c r="O63" s="53"/>
      <c r="P63" s="53"/>
      <c r="Q63" s="53"/>
      <c r="R63" s="53"/>
      <c r="S63" s="54"/>
      <c r="T63" s="53"/>
      <c r="U63" s="54"/>
      <c r="V63" s="54"/>
      <c r="W63" s="42"/>
      <c r="X63" s="42"/>
      <c r="Y63" s="42"/>
      <c r="Z63" s="55"/>
      <c r="AA63" s="42"/>
      <c r="AB63" s="42"/>
      <c r="AC63" s="42"/>
      <c r="AD63" s="42"/>
      <c r="AE63" s="42"/>
      <c r="AF63" s="55"/>
      <c r="AG63" s="55"/>
      <c r="AH63" s="42"/>
      <c r="AI63" s="20"/>
      <c r="AJ63" s="56"/>
      <c r="AK63" s="42"/>
      <c r="AL63" s="42"/>
      <c r="AM63" s="55"/>
      <c r="AN63" s="42"/>
      <c r="AO63" s="42"/>
      <c r="AP63" s="42"/>
      <c r="AQ63" s="42" t="str">
        <f>AQ3*10</f>
        <v>0</v>
      </c>
      <c r="AR63" s="42"/>
      <c r="AS63" s="42"/>
      <c r="AT63" s="55"/>
      <c r="AU63" s="57"/>
      <c r="AV63" s="57"/>
      <c r="AW63" s="57"/>
      <c r="AX63" s="57"/>
      <c r="AY63" s="57"/>
      <c r="AZ63" s="57"/>
      <c r="BA63" s="57"/>
      <c r="BB63" s="58"/>
      <c r="BC63" s="57"/>
      <c r="BD63" s="58"/>
      <c r="BE63" s="57"/>
      <c r="BF63" s="57"/>
      <c r="BG63" s="57"/>
      <c r="BH63" s="57"/>
      <c r="BI63" s="54"/>
      <c r="BJ63" s="53"/>
      <c r="BK63" s="53"/>
      <c r="BL63" s="59"/>
      <c r="BM63" s="59"/>
      <c r="BN63" s="59"/>
      <c r="BO63" s="59"/>
      <c r="BP63" s="60"/>
      <c r="BQ63" s="59"/>
      <c r="BR63" s="59"/>
      <c r="BS63" s="59"/>
      <c r="BT63" s="59"/>
      <c r="BU63" s="59"/>
      <c r="BV63" s="59"/>
      <c r="BW63" s="59"/>
      <c r="BX63" s="60"/>
      <c r="BY63" s="61"/>
      <c r="BZ63" s="61"/>
      <c r="CA63" s="61"/>
      <c r="CB63" s="61"/>
      <c r="CC63" s="61"/>
      <c r="CD63" s="61"/>
      <c r="CE63" s="61"/>
      <c r="CF63" s="61"/>
      <c r="CG63" s="55"/>
      <c r="CH63" s="55"/>
      <c r="CI63" s="28"/>
      <c r="CJ63" s="49"/>
      <c r="CK63" s="50" t="str">
        <f t="shared" si="1"/>
        <v>0</v>
      </c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</row>
    <row r="64" ht="15.75" customHeight="1">
      <c r="A64" s="62" t="s">
        <v>209</v>
      </c>
      <c r="B64" s="63" t="s">
        <v>210</v>
      </c>
      <c r="C64" s="53"/>
      <c r="D64" s="54"/>
      <c r="E64" s="53"/>
      <c r="F64" s="54"/>
      <c r="G64" s="53"/>
      <c r="H64" s="53"/>
      <c r="I64" s="54"/>
      <c r="J64" s="53"/>
      <c r="K64" s="53"/>
      <c r="L64" s="54"/>
      <c r="M64" s="54"/>
      <c r="N64" s="54"/>
      <c r="O64" s="53"/>
      <c r="P64" s="53"/>
      <c r="Q64" s="53"/>
      <c r="R64" s="53"/>
      <c r="S64" s="54"/>
      <c r="T64" s="53"/>
      <c r="U64" s="54"/>
      <c r="V64" s="54"/>
      <c r="W64" s="42"/>
      <c r="X64" s="42"/>
      <c r="Y64" s="42"/>
      <c r="Z64" s="55"/>
      <c r="AA64" s="42"/>
      <c r="AB64" s="42"/>
      <c r="AC64" s="42"/>
      <c r="AD64" s="42"/>
      <c r="AE64" s="42"/>
      <c r="AF64" s="55"/>
      <c r="AG64" s="55"/>
      <c r="AH64" s="42"/>
      <c r="AI64" s="20"/>
      <c r="AJ64" s="56"/>
      <c r="AK64" s="42"/>
      <c r="AL64" s="42"/>
      <c r="AM64" s="55"/>
      <c r="AN64" s="42"/>
      <c r="AO64" s="42"/>
      <c r="AP64" s="42"/>
      <c r="AQ64" s="42"/>
      <c r="AR64" s="42"/>
      <c r="AS64" s="42" t="str">
        <f>AS3*5</f>
        <v>0</v>
      </c>
      <c r="AT64" s="55"/>
      <c r="AU64" s="57"/>
      <c r="AV64" s="57"/>
      <c r="AW64" s="57"/>
      <c r="AX64" s="57"/>
      <c r="AY64" s="57"/>
      <c r="AZ64" s="57"/>
      <c r="BA64" s="57"/>
      <c r="BB64" s="58"/>
      <c r="BC64" s="57"/>
      <c r="BD64" s="58"/>
      <c r="BE64" s="57"/>
      <c r="BF64" s="57"/>
      <c r="BG64" s="57"/>
      <c r="BH64" s="57"/>
      <c r="BI64" s="54"/>
      <c r="BJ64" s="53"/>
      <c r="BK64" s="53"/>
      <c r="BL64" s="59"/>
      <c r="BM64" s="59"/>
      <c r="BN64" s="59"/>
      <c r="BO64" s="59"/>
      <c r="BP64" s="60"/>
      <c r="BQ64" s="59"/>
      <c r="BR64" s="59"/>
      <c r="BS64" s="59"/>
      <c r="BT64" s="59"/>
      <c r="BU64" s="59"/>
      <c r="BV64" s="59"/>
      <c r="BW64" s="59"/>
      <c r="BX64" s="60"/>
      <c r="BY64" s="61"/>
      <c r="BZ64" s="61"/>
      <c r="CA64" s="61"/>
      <c r="CB64" s="61"/>
      <c r="CC64" s="61"/>
      <c r="CD64" s="61" t="str">
        <f>CD3*120</f>
        <v>0</v>
      </c>
      <c r="CE64" s="61"/>
      <c r="CF64" s="61"/>
      <c r="CG64" s="55"/>
      <c r="CH64" s="55"/>
      <c r="CI64" s="28"/>
      <c r="CJ64" s="49"/>
      <c r="CK64" s="50" t="str">
        <f t="shared" si="1"/>
        <v>0</v>
      </c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</row>
    <row r="65" ht="15.75" customHeight="1">
      <c r="A65" s="51" t="s">
        <v>211</v>
      </c>
      <c r="B65" s="52" t="s">
        <v>212</v>
      </c>
      <c r="C65" s="53"/>
      <c r="D65" s="54"/>
      <c r="E65" s="53"/>
      <c r="F65" s="54"/>
      <c r="G65" s="53"/>
      <c r="H65" s="53"/>
      <c r="I65" s="54"/>
      <c r="J65" s="53"/>
      <c r="K65" s="53"/>
      <c r="L65" s="54"/>
      <c r="M65" s="54"/>
      <c r="N65" s="54"/>
      <c r="O65" s="53"/>
      <c r="P65" s="53"/>
      <c r="Q65" s="53"/>
      <c r="R65" s="53"/>
      <c r="S65" s="54"/>
      <c r="T65" s="53"/>
      <c r="U65" s="54"/>
      <c r="V65" s="54"/>
      <c r="W65" s="42"/>
      <c r="X65" s="42"/>
      <c r="Y65" s="42"/>
      <c r="Z65" s="55"/>
      <c r="AA65" s="42" t="str">
        <f>10*AA3</f>
        <v>20</v>
      </c>
      <c r="AB65" s="42"/>
      <c r="AC65" s="42"/>
      <c r="AD65" s="42"/>
      <c r="AE65" s="42"/>
      <c r="AF65" s="55"/>
      <c r="AG65" s="55"/>
      <c r="AH65" s="42"/>
      <c r="AI65" s="20"/>
      <c r="AJ65" s="56"/>
      <c r="AK65" s="42"/>
      <c r="AL65" s="42"/>
      <c r="AM65" s="55"/>
      <c r="AN65" s="42"/>
      <c r="AO65" s="42"/>
      <c r="AP65" s="42"/>
      <c r="AQ65" s="42" t="str">
        <f>AQ3*4.5</f>
        <v>0</v>
      </c>
      <c r="AR65" s="42"/>
      <c r="AS65" s="42" t="str">
        <f>AS3*4.5</f>
        <v>0</v>
      </c>
      <c r="AT65" s="55"/>
      <c r="AU65" s="57"/>
      <c r="AV65" s="57"/>
      <c r="AW65" s="57"/>
      <c r="AX65" s="57"/>
      <c r="AY65" s="57"/>
      <c r="AZ65" s="57"/>
      <c r="BA65" s="57"/>
      <c r="BB65" s="58"/>
      <c r="BC65" s="57"/>
      <c r="BD65" s="58"/>
      <c r="BE65" s="57"/>
      <c r="BF65" s="57"/>
      <c r="BG65" s="57"/>
      <c r="BH65" s="57"/>
      <c r="BI65" s="54"/>
      <c r="BJ65" s="53"/>
      <c r="BK65" s="53"/>
      <c r="BL65" s="59"/>
      <c r="BM65" s="59"/>
      <c r="BN65" s="59"/>
      <c r="BO65" s="59"/>
      <c r="BP65" s="60"/>
      <c r="BQ65" s="59"/>
      <c r="BR65" s="59"/>
      <c r="BS65" s="59"/>
      <c r="BT65" s="59"/>
      <c r="BU65" s="59"/>
      <c r="BV65" s="59"/>
      <c r="BW65" s="59"/>
      <c r="BX65" s="60"/>
      <c r="BY65" s="61"/>
      <c r="BZ65" s="61"/>
      <c r="CA65" s="61"/>
      <c r="CB65" s="61"/>
      <c r="CC65" s="61"/>
      <c r="CD65" s="61"/>
      <c r="CE65" s="61"/>
      <c r="CF65" s="61"/>
      <c r="CG65" s="55"/>
      <c r="CH65" s="55"/>
      <c r="CI65" s="28"/>
      <c r="CJ65" s="49"/>
      <c r="CK65" s="50" t="str">
        <f t="shared" si="1"/>
        <v>20</v>
      </c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</row>
    <row r="66" ht="15.75" customHeight="1">
      <c r="A66" s="62" t="s">
        <v>213</v>
      </c>
      <c r="B66" s="63" t="s">
        <v>214</v>
      </c>
      <c r="C66" s="53"/>
      <c r="D66" s="54"/>
      <c r="E66" s="53"/>
      <c r="F66" s="54"/>
      <c r="G66" s="53"/>
      <c r="H66" s="53"/>
      <c r="I66" s="54"/>
      <c r="J66" s="53"/>
      <c r="K66" s="53"/>
      <c r="L66" s="54"/>
      <c r="M66" s="54"/>
      <c r="N66" s="54"/>
      <c r="O66" s="53"/>
      <c r="P66" s="53"/>
      <c r="Q66" s="53"/>
      <c r="R66" s="53"/>
      <c r="S66" s="54"/>
      <c r="T66" s="53"/>
      <c r="U66" s="54"/>
      <c r="V66" s="54"/>
      <c r="W66" s="42"/>
      <c r="X66" s="42"/>
      <c r="Y66" s="42"/>
      <c r="Z66" s="55"/>
      <c r="AA66" s="42"/>
      <c r="AB66" s="42"/>
      <c r="AC66" s="42"/>
      <c r="AD66" s="42"/>
      <c r="AE66" s="42"/>
      <c r="AF66" s="55"/>
      <c r="AG66" s="55"/>
      <c r="AH66" s="42"/>
      <c r="AI66" s="20"/>
      <c r="AJ66" s="56"/>
      <c r="AK66" s="42"/>
      <c r="AL66" s="42"/>
      <c r="AM66" s="55"/>
      <c r="AN66" s="42"/>
      <c r="AO66" s="42"/>
      <c r="AP66" s="42"/>
      <c r="AQ66" s="42"/>
      <c r="AR66" s="42"/>
      <c r="AS66" s="42"/>
      <c r="AT66" s="55"/>
      <c r="AU66" s="57"/>
      <c r="AV66" s="57"/>
      <c r="AW66" s="57"/>
      <c r="AX66" s="57"/>
      <c r="AY66" s="57"/>
      <c r="AZ66" s="57"/>
      <c r="BA66" s="57"/>
      <c r="BB66" s="58"/>
      <c r="BC66" s="57"/>
      <c r="BD66" s="58"/>
      <c r="BE66" s="57"/>
      <c r="BF66" s="57"/>
      <c r="BG66" s="57"/>
      <c r="BH66" s="57"/>
      <c r="BI66" s="54" t="str">
        <f>6.6*BI3</f>
        <v>0</v>
      </c>
      <c r="BJ66" s="53"/>
      <c r="BK66" s="53" t="str">
        <f>BK3*6.6</f>
        <v>0</v>
      </c>
      <c r="BL66" s="59"/>
      <c r="BM66" s="59"/>
      <c r="BN66" s="59"/>
      <c r="BO66" s="59"/>
      <c r="BP66" s="60"/>
      <c r="BQ66" s="59"/>
      <c r="BR66" s="59"/>
      <c r="BS66" s="59"/>
      <c r="BT66" s="59"/>
      <c r="BU66" s="59"/>
      <c r="BV66" s="59"/>
      <c r="BW66" s="59"/>
      <c r="BX66" s="60"/>
      <c r="BY66" s="61"/>
      <c r="BZ66" s="61"/>
      <c r="CA66" s="61"/>
      <c r="CB66" s="61"/>
      <c r="CC66" s="61"/>
      <c r="CD66" s="61"/>
      <c r="CE66" s="61"/>
      <c r="CF66" s="61"/>
      <c r="CG66" s="55"/>
      <c r="CH66" s="55"/>
      <c r="CI66" s="28"/>
      <c r="CJ66" s="49"/>
      <c r="CK66" s="50" t="str">
        <f t="shared" si="1"/>
        <v>0</v>
      </c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</row>
    <row r="67" ht="15.75" customHeight="1">
      <c r="A67" s="51" t="s">
        <v>215</v>
      </c>
      <c r="B67" s="52" t="s">
        <v>216</v>
      </c>
      <c r="C67" s="53"/>
      <c r="D67" s="54"/>
      <c r="E67" s="53"/>
      <c r="F67" s="54"/>
      <c r="G67" s="53"/>
      <c r="H67" s="53"/>
      <c r="I67" s="54"/>
      <c r="J67" s="53"/>
      <c r="K67" s="53"/>
      <c r="L67" s="54"/>
      <c r="M67" s="54"/>
      <c r="N67" s="54"/>
      <c r="O67" s="53"/>
      <c r="P67" s="53"/>
      <c r="Q67" s="53"/>
      <c r="R67" s="53"/>
      <c r="S67" s="54"/>
      <c r="T67" s="53"/>
      <c r="U67" s="54"/>
      <c r="V67" s="54"/>
      <c r="W67" s="42"/>
      <c r="X67" s="42"/>
      <c r="Y67" s="42"/>
      <c r="Z67" s="55"/>
      <c r="AA67" s="42" t="str">
        <f>1.5*AA3</f>
        <v>3</v>
      </c>
      <c r="AB67" s="42"/>
      <c r="AC67" s="42"/>
      <c r="AD67" s="42"/>
      <c r="AE67" s="42"/>
      <c r="AF67" s="55"/>
      <c r="AG67" s="55"/>
      <c r="AH67" s="42"/>
      <c r="AI67" s="20"/>
      <c r="AJ67" s="56"/>
      <c r="AK67" s="42"/>
      <c r="AL67" s="42" t="str">
        <f>AL3*1.5</f>
        <v>0</v>
      </c>
      <c r="AM67" s="55"/>
      <c r="AN67" s="42"/>
      <c r="AO67" s="42"/>
      <c r="AP67" s="42"/>
      <c r="AQ67" s="42" t="str">
        <f>AQ3*2.5</f>
        <v>0</v>
      </c>
      <c r="AR67" s="42"/>
      <c r="AS67" s="42" t="str">
        <f>AS3*2.5</f>
        <v>0</v>
      </c>
      <c r="AT67" s="55"/>
      <c r="AU67" s="57"/>
      <c r="AV67" s="57"/>
      <c r="AW67" s="57"/>
      <c r="AX67" s="57"/>
      <c r="AY67" s="57"/>
      <c r="AZ67" s="57"/>
      <c r="BA67" s="57"/>
      <c r="BB67" s="58"/>
      <c r="BC67" s="57"/>
      <c r="BD67" s="58"/>
      <c r="BE67" s="57"/>
      <c r="BF67" s="57"/>
      <c r="BG67" s="57"/>
      <c r="BH67" s="57"/>
      <c r="BI67" s="54"/>
      <c r="BJ67" s="53"/>
      <c r="BK67" s="53"/>
      <c r="BL67" s="59"/>
      <c r="BM67" s="59"/>
      <c r="BN67" s="59"/>
      <c r="BO67" s="59"/>
      <c r="BP67" s="60"/>
      <c r="BQ67" s="59"/>
      <c r="BR67" s="59"/>
      <c r="BS67" s="59"/>
      <c r="BT67" s="59"/>
      <c r="BU67" s="59"/>
      <c r="BV67" s="59"/>
      <c r="BW67" s="59"/>
      <c r="BX67" s="60"/>
      <c r="BY67" s="61"/>
      <c r="BZ67" s="61"/>
      <c r="CA67" s="61"/>
      <c r="CB67" s="61"/>
      <c r="CC67" s="61"/>
      <c r="CD67" s="61"/>
      <c r="CE67" s="61"/>
      <c r="CF67" s="61"/>
      <c r="CG67" s="55"/>
      <c r="CH67" s="55"/>
      <c r="CI67" s="28"/>
      <c r="CJ67" s="49"/>
      <c r="CK67" s="50" t="str">
        <f t="shared" si="1"/>
        <v>3</v>
      </c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</row>
    <row r="68" ht="15.75" customHeight="1">
      <c r="A68" s="62" t="s">
        <v>217</v>
      </c>
      <c r="B68" s="63" t="s">
        <v>218</v>
      </c>
      <c r="C68" s="53"/>
      <c r="D68" s="54"/>
      <c r="E68" s="53"/>
      <c r="F68" s="54"/>
      <c r="G68" s="53"/>
      <c r="H68" s="53"/>
      <c r="I68" s="54"/>
      <c r="J68" s="53"/>
      <c r="K68" s="53"/>
      <c r="L68" s="54"/>
      <c r="M68" s="54"/>
      <c r="N68" s="54"/>
      <c r="O68" s="53"/>
      <c r="P68" s="53"/>
      <c r="Q68" s="53"/>
      <c r="R68" s="53"/>
      <c r="S68" s="54"/>
      <c r="T68" s="53"/>
      <c r="U68" s="54"/>
      <c r="V68" s="54"/>
      <c r="W68" s="42"/>
      <c r="X68" s="42"/>
      <c r="Y68" s="42"/>
      <c r="Z68" s="55"/>
      <c r="AA68" s="42"/>
      <c r="AB68" s="42"/>
      <c r="AC68" s="42"/>
      <c r="AD68" s="42"/>
      <c r="AE68" s="42"/>
      <c r="AF68" s="55"/>
      <c r="AG68" s="55"/>
      <c r="AH68" s="42"/>
      <c r="AI68" s="20"/>
      <c r="AJ68" s="56"/>
      <c r="AK68" s="42"/>
      <c r="AL68" s="42"/>
      <c r="AM68" s="55"/>
      <c r="AN68" s="42"/>
      <c r="AO68" s="42"/>
      <c r="AP68" s="42"/>
      <c r="AQ68" s="42" t="str">
        <f>AQ3*3.5</f>
        <v>0</v>
      </c>
      <c r="AR68" s="42"/>
      <c r="AS68" s="42" t="str">
        <f>AS3*3.5</f>
        <v>0</v>
      </c>
      <c r="AT68" s="55"/>
      <c r="AU68" s="57"/>
      <c r="AV68" s="57"/>
      <c r="AW68" s="57"/>
      <c r="AX68" s="57"/>
      <c r="AY68" s="57"/>
      <c r="AZ68" s="57"/>
      <c r="BA68" s="57"/>
      <c r="BB68" s="58"/>
      <c r="BC68" s="57"/>
      <c r="BD68" s="58"/>
      <c r="BE68" s="57"/>
      <c r="BF68" s="57"/>
      <c r="BG68" s="57"/>
      <c r="BH68" s="57"/>
      <c r="BI68" s="54"/>
      <c r="BJ68" s="53"/>
      <c r="BK68" s="53"/>
      <c r="BL68" s="59"/>
      <c r="BM68" s="59"/>
      <c r="BN68" s="59"/>
      <c r="BO68" s="59"/>
      <c r="BP68" s="60"/>
      <c r="BQ68" s="59"/>
      <c r="BR68" s="59"/>
      <c r="BS68" s="59"/>
      <c r="BT68" s="59"/>
      <c r="BU68" s="59"/>
      <c r="BV68" s="59"/>
      <c r="BW68" s="59"/>
      <c r="BX68" s="60"/>
      <c r="BY68" s="61"/>
      <c r="BZ68" s="61"/>
      <c r="CA68" s="61"/>
      <c r="CB68" s="61"/>
      <c r="CC68" s="61"/>
      <c r="CD68" s="61"/>
      <c r="CE68" s="61"/>
      <c r="CF68" s="61"/>
      <c r="CG68" s="55"/>
      <c r="CH68" s="55"/>
      <c r="CI68" s="28"/>
      <c r="CJ68" s="49"/>
      <c r="CK68" s="50" t="str">
        <f t="shared" si="1"/>
        <v>0</v>
      </c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</row>
    <row r="69" ht="15.75" customHeight="1">
      <c r="A69" s="51" t="s">
        <v>219</v>
      </c>
      <c r="B69" s="52" t="s">
        <v>220</v>
      </c>
      <c r="C69" s="53"/>
      <c r="D69" s="54"/>
      <c r="E69" s="53"/>
      <c r="F69" s="54"/>
      <c r="G69" s="53" t="str">
        <f>G3*47.2</f>
        <v>47.2</v>
      </c>
      <c r="H69" s="53"/>
      <c r="I69" s="54"/>
      <c r="J69" s="53"/>
      <c r="K69" s="53"/>
      <c r="L69" s="54"/>
      <c r="M69" s="54"/>
      <c r="N69" s="54"/>
      <c r="O69" s="53" t="str">
        <f>O3*20</f>
        <v>0</v>
      </c>
      <c r="P69" s="53"/>
      <c r="Q69" s="53"/>
      <c r="R69" s="53"/>
      <c r="S69" s="54"/>
      <c r="T69" s="53"/>
      <c r="U69" s="54"/>
      <c r="V69" s="54"/>
      <c r="W69" s="42"/>
      <c r="X69" s="42"/>
      <c r="Y69" s="42"/>
      <c r="Z69" s="55"/>
      <c r="AA69" s="42" t="str">
        <f>50*AA3</f>
        <v>100</v>
      </c>
      <c r="AB69" s="42"/>
      <c r="AC69" s="42"/>
      <c r="AD69" s="42"/>
      <c r="AE69" s="42"/>
      <c r="AF69" s="55"/>
      <c r="AG69" s="55"/>
      <c r="AH69" s="42"/>
      <c r="AI69" s="20"/>
      <c r="AJ69" s="56"/>
      <c r="AK69" s="42"/>
      <c r="AL69" s="42" t="str">
        <f>AL3*50</f>
        <v>0</v>
      </c>
      <c r="AM69" s="55"/>
      <c r="AN69" s="42"/>
      <c r="AO69" s="42"/>
      <c r="AP69" s="42"/>
      <c r="AQ69" s="42"/>
      <c r="AR69" s="42"/>
      <c r="AS69" s="42" t="str">
        <f>AS3*50</f>
        <v>0</v>
      </c>
      <c r="AT69" s="55"/>
      <c r="AU69" s="57"/>
      <c r="AV69" s="57"/>
      <c r="AW69" s="57"/>
      <c r="AX69" s="57"/>
      <c r="AY69" s="57"/>
      <c r="AZ69" s="57"/>
      <c r="BA69" s="57"/>
      <c r="BB69" s="58"/>
      <c r="BC69" s="57"/>
      <c r="BD69" s="58"/>
      <c r="BE69" s="57"/>
      <c r="BF69" s="57"/>
      <c r="BG69" s="57"/>
      <c r="BH69" s="57"/>
      <c r="BI69" s="54"/>
      <c r="BJ69" s="53"/>
      <c r="BK69" s="53"/>
      <c r="BL69" s="59"/>
      <c r="BM69" s="59"/>
      <c r="BN69" s="59"/>
      <c r="BO69" s="59"/>
      <c r="BP69" s="60"/>
      <c r="BQ69" s="59"/>
      <c r="BR69" s="59"/>
      <c r="BS69" s="59"/>
      <c r="BT69" s="59"/>
      <c r="BU69" s="59"/>
      <c r="BV69" s="59"/>
      <c r="BW69" s="59"/>
      <c r="BX69" s="60"/>
      <c r="BY69" s="61"/>
      <c r="BZ69" s="61"/>
      <c r="CA69" s="61"/>
      <c r="CB69" s="61"/>
      <c r="CC69" s="61"/>
      <c r="CD69" s="61"/>
      <c r="CE69" s="61"/>
      <c r="CF69" s="61"/>
      <c r="CG69" s="55"/>
      <c r="CH69" s="55"/>
      <c r="CI69" s="28"/>
      <c r="CJ69" s="49"/>
      <c r="CK69" s="50" t="str">
        <f t="shared" si="1"/>
        <v>147.2</v>
      </c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</row>
    <row r="70" ht="15.75" customHeight="1">
      <c r="A70" s="62" t="s">
        <v>221</v>
      </c>
      <c r="B70" s="63" t="s">
        <v>222</v>
      </c>
      <c r="C70" s="53"/>
      <c r="D70" s="54"/>
      <c r="E70" s="53"/>
      <c r="F70" s="54"/>
      <c r="G70" s="53"/>
      <c r="H70" s="53"/>
      <c r="I70" s="54"/>
      <c r="J70" s="53"/>
      <c r="K70" s="53"/>
      <c r="L70" s="54"/>
      <c r="M70" s="54"/>
      <c r="N70" s="54"/>
      <c r="O70" s="53"/>
      <c r="P70" s="53"/>
      <c r="Q70" s="53"/>
      <c r="R70" s="53"/>
      <c r="S70" s="54"/>
      <c r="T70" s="53"/>
      <c r="U70" s="54"/>
      <c r="V70" s="54"/>
      <c r="W70" s="42"/>
      <c r="X70" s="42"/>
      <c r="Y70" s="42"/>
      <c r="Z70" s="55"/>
      <c r="AA70" s="42"/>
      <c r="AB70" s="42"/>
      <c r="AC70" s="42"/>
      <c r="AD70" s="42"/>
      <c r="AE70" s="42"/>
      <c r="AF70" s="55"/>
      <c r="AG70" s="55"/>
      <c r="AH70" s="42"/>
      <c r="AI70" s="20"/>
      <c r="AJ70" s="56"/>
      <c r="AK70" s="42"/>
      <c r="AL70" s="42"/>
      <c r="AM70" s="55"/>
      <c r="AN70" s="42"/>
      <c r="AO70" s="42"/>
      <c r="AP70" s="42"/>
      <c r="AQ70" s="42"/>
      <c r="AR70" s="42"/>
      <c r="AS70" s="42"/>
      <c r="AT70" s="55"/>
      <c r="AU70" s="57"/>
      <c r="AV70" s="57"/>
      <c r="AW70" s="57"/>
      <c r="AX70" s="57"/>
      <c r="AY70" s="57"/>
      <c r="AZ70" s="57"/>
      <c r="BA70" s="57"/>
      <c r="BB70" s="58"/>
      <c r="BC70" s="57"/>
      <c r="BD70" s="58"/>
      <c r="BE70" s="57"/>
      <c r="BF70" s="57"/>
      <c r="BG70" s="57"/>
      <c r="BH70" s="57"/>
      <c r="BI70" s="54"/>
      <c r="BJ70" s="53"/>
      <c r="BK70" s="53"/>
      <c r="BL70" s="59"/>
      <c r="BM70" s="59"/>
      <c r="BN70" s="59"/>
      <c r="BO70" s="59"/>
      <c r="BP70" s="60"/>
      <c r="BQ70" s="59"/>
      <c r="BR70" s="59"/>
      <c r="BS70" s="59"/>
      <c r="BT70" s="59"/>
      <c r="BU70" s="59"/>
      <c r="BV70" s="59"/>
      <c r="BW70" s="59" t="str">
        <f>BW3*68.8</f>
        <v>0</v>
      </c>
      <c r="BX70" s="60"/>
      <c r="BY70" s="61"/>
      <c r="BZ70" s="61"/>
      <c r="CA70" s="61"/>
      <c r="CB70" s="61"/>
      <c r="CC70" s="61"/>
      <c r="CD70" s="61"/>
      <c r="CE70" s="61"/>
      <c r="CF70" s="61"/>
      <c r="CG70" s="55"/>
      <c r="CH70" s="55"/>
      <c r="CI70" s="28"/>
      <c r="CJ70" s="49"/>
      <c r="CK70" s="50" t="str">
        <f t="shared" si="1"/>
        <v>0</v>
      </c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</row>
    <row r="71" ht="15.75" customHeight="1">
      <c r="A71" s="51" t="s">
        <v>223</v>
      </c>
      <c r="B71" s="52" t="s">
        <v>224</v>
      </c>
      <c r="C71" s="53"/>
      <c r="D71" s="54"/>
      <c r="E71" s="53"/>
      <c r="F71" s="54"/>
      <c r="G71" s="53"/>
      <c r="H71" s="53"/>
      <c r="I71" s="54"/>
      <c r="J71" s="53"/>
      <c r="K71" s="53"/>
      <c r="L71" s="54"/>
      <c r="M71" s="54"/>
      <c r="N71" s="54"/>
      <c r="O71" s="53"/>
      <c r="P71" s="53"/>
      <c r="Q71" s="53"/>
      <c r="R71" s="53"/>
      <c r="S71" s="54"/>
      <c r="T71" s="53"/>
      <c r="U71" s="54"/>
      <c r="V71" s="54"/>
      <c r="W71" s="42"/>
      <c r="X71" s="42"/>
      <c r="Y71" s="42"/>
      <c r="Z71" s="55"/>
      <c r="AA71" s="42"/>
      <c r="AB71" s="42"/>
      <c r="AC71" s="42"/>
      <c r="AD71" s="42"/>
      <c r="AE71" s="42"/>
      <c r="AF71" s="55"/>
      <c r="AG71" s="55"/>
      <c r="AH71" s="42"/>
      <c r="AI71" s="20"/>
      <c r="AJ71" s="56"/>
      <c r="AK71" s="42"/>
      <c r="AL71" s="42"/>
      <c r="AM71" s="55"/>
      <c r="AN71" s="42"/>
      <c r="AO71" s="42"/>
      <c r="AP71" s="42"/>
      <c r="AQ71" s="42"/>
      <c r="AR71" s="42"/>
      <c r="AS71" s="42"/>
      <c r="AT71" s="55"/>
      <c r="AU71" s="57"/>
      <c r="AV71" s="57"/>
      <c r="AW71" s="57"/>
      <c r="AX71" s="57"/>
      <c r="AY71" s="57"/>
      <c r="AZ71" s="57"/>
      <c r="BA71" s="57"/>
      <c r="BB71" s="58"/>
      <c r="BC71" s="57"/>
      <c r="BD71" s="58"/>
      <c r="BE71" s="57"/>
      <c r="BF71" s="57"/>
      <c r="BG71" s="57"/>
      <c r="BH71" s="57"/>
      <c r="BI71" s="54"/>
      <c r="BJ71" s="53"/>
      <c r="BK71" s="53"/>
      <c r="BL71" s="59" t="str">
        <f>BL3*10</f>
        <v>0</v>
      </c>
      <c r="BM71" s="59" t="str">
        <f>BM3*40</f>
        <v>0</v>
      </c>
      <c r="BN71" s="59"/>
      <c r="BO71" s="59"/>
      <c r="BP71" s="60"/>
      <c r="BQ71" s="59" t="str">
        <f>BQ3*15</f>
        <v>0</v>
      </c>
      <c r="BR71" s="59"/>
      <c r="BS71" s="59" t="str">
        <f>BS3*24</f>
        <v>12</v>
      </c>
      <c r="BT71" s="59" t="str">
        <f>BT3*96</f>
        <v>0</v>
      </c>
      <c r="BU71" s="59"/>
      <c r="BV71" s="59"/>
      <c r="BW71" s="59"/>
      <c r="BX71" s="60"/>
      <c r="BY71" s="61"/>
      <c r="BZ71" s="61"/>
      <c r="CA71" s="61"/>
      <c r="CB71" s="61"/>
      <c r="CC71" s="61"/>
      <c r="CD71" s="61"/>
      <c r="CE71" s="61"/>
      <c r="CF71" s="61"/>
      <c r="CG71" s="55"/>
      <c r="CH71" s="55"/>
      <c r="CI71" s="28"/>
      <c r="CJ71" s="49"/>
      <c r="CK71" s="50" t="str">
        <f t="shared" si="1"/>
        <v>12</v>
      </c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</row>
    <row r="72" ht="15.75" customHeight="1">
      <c r="A72" s="62" t="s">
        <v>225</v>
      </c>
      <c r="B72" s="63" t="s">
        <v>226</v>
      </c>
      <c r="C72" s="53"/>
      <c r="D72" s="54"/>
      <c r="E72" s="53"/>
      <c r="F72" s="54"/>
      <c r="G72" s="53"/>
      <c r="H72" s="53"/>
      <c r="I72" s="54"/>
      <c r="J72" s="53"/>
      <c r="K72" s="53"/>
      <c r="L72" s="54"/>
      <c r="M72" s="54"/>
      <c r="N72" s="54"/>
      <c r="O72" s="53"/>
      <c r="P72" s="53"/>
      <c r="Q72" s="53"/>
      <c r="R72" s="53"/>
      <c r="S72" s="54"/>
      <c r="T72" s="53"/>
      <c r="U72" s="54"/>
      <c r="V72" s="54"/>
      <c r="W72" s="42"/>
      <c r="X72" s="42"/>
      <c r="Y72" s="42"/>
      <c r="Z72" s="55"/>
      <c r="AA72" s="42"/>
      <c r="AB72" s="42"/>
      <c r="AC72" s="42"/>
      <c r="AD72" s="42"/>
      <c r="AE72" s="42"/>
      <c r="AF72" s="55"/>
      <c r="AG72" s="55"/>
      <c r="AH72" s="42"/>
      <c r="AI72" s="20"/>
      <c r="AJ72" s="56"/>
      <c r="AK72" s="42"/>
      <c r="AL72" s="42"/>
      <c r="AM72" s="55"/>
      <c r="AN72" s="42"/>
      <c r="AO72" s="42"/>
      <c r="AP72" s="42"/>
      <c r="AQ72" s="42"/>
      <c r="AR72" s="42"/>
      <c r="AS72" s="42"/>
      <c r="AT72" s="55"/>
      <c r="AU72" s="57"/>
      <c r="AV72" s="57"/>
      <c r="AW72" s="57"/>
      <c r="AX72" s="57"/>
      <c r="AY72" s="57"/>
      <c r="AZ72" s="57"/>
      <c r="BA72" s="57"/>
      <c r="BB72" s="58"/>
      <c r="BC72" s="57"/>
      <c r="BD72" s="58"/>
      <c r="BE72" s="57"/>
      <c r="BF72" s="57"/>
      <c r="BG72" s="57"/>
      <c r="BH72" s="57"/>
      <c r="BI72" s="54"/>
      <c r="BJ72" s="53"/>
      <c r="BK72" s="53"/>
      <c r="BL72" s="59" t="str">
        <f>BL3*3.2</f>
        <v>0</v>
      </c>
      <c r="BM72" s="59" t="str">
        <f>BM3*12.8</f>
        <v>0</v>
      </c>
      <c r="BN72" s="59" t="str">
        <f>BN3*1.6</f>
        <v>0</v>
      </c>
      <c r="BO72" s="59" t="str">
        <f>BO3*6.4</f>
        <v>0</v>
      </c>
      <c r="BP72" s="60" t="str">
        <f>1.4*BP3</f>
        <v>0.7</v>
      </c>
      <c r="BQ72" s="59" t="str">
        <f>BQ3*5.6</f>
        <v>0</v>
      </c>
      <c r="BR72" s="59" t="str">
        <f>BR3*4</f>
        <v>2</v>
      </c>
      <c r="BS72" s="59" t="str">
        <f>BS3*8</f>
        <v>4</v>
      </c>
      <c r="BT72" s="59" t="str">
        <f>BT3*32</f>
        <v>0</v>
      </c>
      <c r="BU72" s="59" t="str">
        <f>BU3*2</f>
        <v>1</v>
      </c>
      <c r="BV72" s="59"/>
      <c r="BW72" s="59"/>
      <c r="BX72" s="60"/>
      <c r="BY72" s="61"/>
      <c r="BZ72" s="61"/>
      <c r="CA72" s="61"/>
      <c r="CB72" s="61"/>
      <c r="CC72" s="61"/>
      <c r="CD72" s="61"/>
      <c r="CE72" s="61"/>
      <c r="CF72" s="61"/>
      <c r="CG72" s="55"/>
      <c r="CH72" s="55"/>
      <c r="CI72" s="28"/>
      <c r="CJ72" s="49"/>
      <c r="CK72" s="50" t="str">
        <f t="shared" si="1"/>
        <v>7.7</v>
      </c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</row>
    <row r="73" ht="15.75" customHeight="1">
      <c r="A73" s="51" t="s">
        <v>227</v>
      </c>
      <c r="B73" s="52" t="s">
        <v>228</v>
      </c>
      <c r="C73" s="53"/>
      <c r="D73" s="54"/>
      <c r="E73" s="53"/>
      <c r="F73" s="54"/>
      <c r="G73" s="53"/>
      <c r="H73" s="53"/>
      <c r="I73" s="54"/>
      <c r="J73" s="53"/>
      <c r="K73" s="53"/>
      <c r="L73" s="54"/>
      <c r="M73" s="54"/>
      <c r="N73" s="54"/>
      <c r="O73" s="53"/>
      <c r="P73" s="53"/>
      <c r="Q73" s="53"/>
      <c r="R73" s="53"/>
      <c r="S73" s="54"/>
      <c r="T73" s="53"/>
      <c r="U73" s="54"/>
      <c r="V73" s="54"/>
      <c r="W73" s="42"/>
      <c r="X73" s="42"/>
      <c r="Y73" s="42"/>
      <c r="Z73" s="55"/>
      <c r="AA73" s="42"/>
      <c r="AB73" s="42"/>
      <c r="AC73" s="42"/>
      <c r="AD73" s="42"/>
      <c r="AE73" s="42"/>
      <c r="AF73" s="55"/>
      <c r="AG73" s="55"/>
      <c r="AH73" s="42"/>
      <c r="AI73" s="20"/>
      <c r="AJ73" s="56"/>
      <c r="AK73" s="42"/>
      <c r="AL73" s="42"/>
      <c r="AM73" s="55"/>
      <c r="AN73" s="42"/>
      <c r="AO73" s="42"/>
      <c r="AP73" s="42"/>
      <c r="AQ73" s="42"/>
      <c r="AR73" s="42"/>
      <c r="AS73" s="42"/>
      <c r="AT73" s="55"/>
      <c r="AU73" s="57"/>
      <c r="AV73" s="57"/>
      <c r="AW73" s="57"/>
      <c r="AX73" s="57"/>
      <c r="AY73" s="57"/>
      <c r="AZ73" s="57"/>
      <c r="BA73" s="57"/>
      <c r="BB73" s="58"/>
      <c r="BC73" s="57"/>
      <c r="BD73" s="58"/>
      <c r="BE73" s="57"/>
      <c r="BF73" s="57"/>
      <c r="BG73" s="57"/>
      <c r="BH73" s="57"/>
      <c r="BI73" s="54"/>
      <c r="BJ73" s="53"/>
      <c r="BK73" s="53"/>
      <c r="BL73" s="59"/>
      <c r="BM73" s="59"/>
      <c r="BN73" s="59"/>
      <c r="BO73" s="59"/>
      <c r="BP73" s="60"/>
      <c r="BQ73" s="59"/>
      <c r="BR73" s="59"/>
      <c r="BS73" s="59"/>
      <c r="BT73" s="59"/>
      <c r="BU73" s="59"/>
      <c r="BV73" s="59"/>
      <c r="BW73" s="59"/>
      <c r="BX73" s="60"/>
      <c r="BY73" s="61"/>
      <c r="BZ73" s="61"/>
      <c r="CA73" s="61"/>
      <c r="CB73" s="61"/>
      <c r="CC73" s="61"/>
      <c r="CD73" s="61"/>
      <c r="CE73" s="61"/>
      <c r="CF73" s="61"/>
      <c r="CG73" s="55"/>
      <c r="CH73" s="55"/>
      <c r="CI73" s="28"/>
      <c r="CJ73" s="49"/>
      <c r="CK73" s="50" t="str">
        <f t="shared" si="1"/>
        <v>0</v>
      </c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</row>
    <row r="74" ht="15.75" customHeight="1">
      <c r="A74" s="62" t="s">
        <v>229</v>
      </c>
      <c r="B74" s="63" t="s">
        <v>230</v>
      </c>
      <c r="C74" s="53"/>
      <c r="D74" s="54"/>
      <c r="E74" s="53"/>
      <c r="F74" s="54"/>
      <c r="G74" s="53"/>
      <c r="H74" s="53"/>
      <c r="I74" s="54"/>
      <c r="J74" s="53"/>
      <c r="K74" s="53"/>
      <c r="L74" s="54"/>
      <c r="M74" s="54"/>
      <c r="N74" s="54"/>
      <c r="O74" s="53"/>
      <c r="P74" s="53"/>
      <c r="Q74" s="53" t="str">
        <f>Q3*2</f>
        <v>0</v>
      </c>
      <c r="R74" s="53"/>
      <c r="S74" s="54"/>
      <c r="T74" s="53"/>
      <c r="U74" s="54"/>
      <c r="V74" s="54"/>
      <c r="W74" s="42"/>
      <c r="X74" s="42"/>
      <c r="Y74" s="42"/>
      <c r="Z74" s="55"/>
      <c r="AA74" s="42"/>
      <c r="AB74" s="42"/>
      <c r="AC74" s="42"/>
      <c r="AD74" s="42"/>
      <c r="AE74" s="42"/>
      <c r="AF74" s="55"/>
      <c r="AG74" s="55"/>
      <c r="AH74" s="42"/>
      <c r="AI74" s="20"/>
      <c r="AJ74" s="56"/>
      <c r="AK74" s="42"/>
      <c r="AL74" s="42"/>
      <c r="AM74" s="55"/>
      <c r="AN74" s="42"/>
      <c r="AO74" s="42"/>
      <c r="AP74" s="42"/>
      <c r="AQ74" s="42"/>
      <c r="AR74" s="42"/>
      <c r="AS74" s="42"/>
      <c r="AT74" s="55"/>
      <c r="AU74" s="57"/>
      <c r="AV74" s="57"/>
      <c r="AW74" s="57"/>
      <c r="AX74" s="57"/>
      <c r="AY74" s="57"/>
      <c r="AZ74" s="57"/>
      <c r="BA74" s="57"/>
      <c r="BB74" s="58"/>
      <c r="BC74" s="57"/>
      <c r="BD74" s="58"/>
      <c r="BE74" s="57"/>
      <c r="BF74" s="57"/>
      <c r="BG74" s="57"/>
      <c r="BH74" s="57"/>
      <c r="BI74" s="54"/>
      <c r="BJ74" s="53"/>
      <c r="BK74" s="53"/>
      <c r="BL74" s="59"/>
      <c r="BM74" s="59"/>
      <c r="BN74" s="59"/>
      <c r="BO74" s="59"/>
      <c r="BP74" s="60"/>
      <c r="BQ74" s="59"/>
      <c r="BR74" s="59"/>
      <c r="BS74" s="59"/>
      <c r="BT74" s="59"/>
      <c r="BU74" s="59"/>
      <c r="BV74" s="59"/>
      <c r="BW74" s="59"/>
      <c r="BX74" s="60"/>
      <c r="BY74" s="61"/>
      <c r="BZ74" s="61"/>
      <c r="CA74" s="61"/>
      <c r="CB74" s="61"/>
      <c r="CC74" s="61"/>
      <c r="CD74" s="61"/>
      <c r="CE74" s="61"/>
      <c r="CF74" s="61"/>
      <c r="CG74" s="55"/>
      <c r="CH74" s="55"/>
      <c r="CI74" s="28"/>
      <c r="CJ74" s="49"/>
      <c r="CK74" s="50" t="str">
        <f t="shared" si="1"/>
        <v>0</v>
      </c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</row>
    <row r="75" ht="15.75" customHeight="1">
      <c r="A75" s="51" t="s">
        <v>231</v>
      </c>
      <c r="B75" s="52" t="s">
        <v>232</v>
      </c>
      <c r="C75" s="53"/>
      <c r="D75" s="54"/>
      <c r="E75" s="53"/>
      <c r="F75" s="54"/>
      <c r="G75" s="53"/>
      <c r="H75" s="53"/>
      <c r="I75" s="54"/>
      <c r="J75" s="53"/>
      <c r="K75" s="53"/>
      <c r="L75" s="54"/>
      <c r="M75" s="54"/>
      <c r="N75" s="54"/>
      <c r="O75" s="53"/>
      <c r="P75" s="53"/>
      <c r="Q75" s="53"/>
      <c r="R75" s="53"/>
      <c r="S75" s="54"/>
      <c r="T75" s="53"/>
      <c r="U75" s="54"/>
      <c r="V75" s="54"/>
      <c r="W75" s="42"/>
      <c r="X75" s="42"/>
      <c r="Y75" s="42"/>
      <c r="Z75" s="55"/>
      <c r="AA75" s="42"/>
      <c r="AB75" s="42"/>
      <c r="AC75" s="42"/>
      <c r="AD75" s="42"/>
      <c r="AE75" s="42"/>
      <c r="AF75" s="55"/>
      <c r="AG75" s="55"/>
      <c r="AH75" s="42"/>
      <c r="AI75" s="20"/>
      <c r="AJ75" s="56"/>
      <c r="AK75" s="42"/>
      <c r="AL75" s="42"/>
      <c r="AM75" s="55"/>
      <c r="AN75" s="42"/>
      <c r="AO75" s="42"/>
      <c r="AP75" s="42"/>
      <c r="AQ75" s="42"/>
      <c r="AR75" s="42"/>
      <c r="AS75" s="42"/>
      <c r="AT75" s="55"/>
      <c r="AU75" s="57"/>
      <c r="AV75" s="57"/>
      <c r="AW75" s="57"/>
      <c r="AX75" s="57"/>
      <c r="AY75" s="57"/>
      <c r="AZ75" s="57"/>
      <c r="BA75" s="57"/>
      <c r="BB75" s="58"/>
      <c r="BC75" s="57"/>
      <c r="BD75" s="58"/>
      <c r="BE75" s="57"/>
      <c r="BF75" s="57"/>
      <c r="BG75" s="57"/>
      <c r="BH75" s="57"/>
      <c r="BI75" s="54"/>
      <c r="BJ75" s="53"/>
      <c r="BK75" s="53"/>
      <c r="BL75" s="59"/>
      <c r="BM75" s="59"/>
      <c r="BN75" s="59"/>
      <c r="BO75" s="59"/>
      <c r="BP75" s="60"/>
      <c r="BQ75" s="59"/>
      <c r="BR75" s="59"/>
      <c r="BS75" s="59"/>
      <c r="BT75" s="59"/>
      <c r="BU75" s="59"/>
      <c r="BV75" s="59" t="str">
        <f>BV3*2</f>
        <v>2</v>
      </c>
      <c r="BW75" s="59"/>
      <c r="BX75" s="60"/>
      <c r="BY75" s="61"/>
      <c r="BZ75" s="61"/>
      <c r="CA75" s="61"/>
      <c r="CB75" s="61"/>
      <c r="CC75" s="61"/>
      <c r="CD75" s="61"/>
      <c r="CE75" s="61"/>
      <c r="CF75" s="61"/>
      <c r="CG75" s="55"/>
      <c r="CH75" s="55"/>
      <c r="CI75" s="28"/>
      <c r="CJ75" s="49"/>
      <c r="CK75" s="50" t="str">
        <f t="shared" si="1"/>
        <v>2</v>
      </c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</row>
    <row r="76" ht="15.75" customHeight="1">
      <c r="A76" s="62" t="s">
        <v>233</v>
      </c>
      <c r="B76" s="63" t="s">
        <v>234</v>
      </c>
      <c r="C76" s="53"/>
      <c r="D76" s="54"/>
      <c r="E76" s="53"/>
      <c r="F76" s="54"/>
      <c r="G76" s="53"/>
      <c r="H76" s="53"/>
      <c r="I76" s="54"/>
      <c r="J76" s="53"/>
      <c r="K76" s="53"/>
      <c r="L76" s="54"/>
      <c r="M76" s="54"/>
      <c r="N76" s="54"/>
      <c r="O76" s="53"/>
      <c r="P76" s="53"/>
      <c r="Q76" s="53"/>
      <c r="R76" s="53"/>
      <c r="S76" s="54"/>
      <c r="T76" s="53"/>
      <c r="U76" s="54"/>
      <c r="V76" s="54"/>
      <c r="W76" s="42"/>
      <c r="X76" s="42"/>
      <c r="Y76" s="42"/>
      <c r="Z76" s="55"/>
      <c r="AA76" s="42"/>
      <c r="AB76" s="42"/>
      <c r="AC76" s="42"/>
      <c r="AD76" s="42"/>
      <c r="AE76" s="42"/>
      <c r="AF76" s="55"/>
      <c r="AG76" s="55" t="str">
        <f>AG3*24</f>
        <v>24</v>
      </c>
      <c r="AH76" s="42"/>
      <c r="AI76" s="20"/>
      <c r="AJ76" s="56"/>
      <c r="AK76" s="42"/>
      <c r="AL76" s="42"/>
      <c r="AM76" s="55"/>
      <c r="AN76" s="42"/>
      <c r="AO76" s="42" t="str">
        <f>AO3*16</f>
        <v>0</v>
      </c>
      <c r="AP76" s="42"/>
      <c r="AQ76" s="42"/>
      <c r="AR76" s="42" t="str">
        <f>AR3*24</f>
        <v>0</v>
      </c>
      <c r="AS76" s="42"/>
      <c r="AT76" s="55"/>
      <c r="AU76" s="57"/>
      <c r="AV76" s="57"/>
      <c r="AW76" s="57"/>
      <c r="AX76" s="57"/>
      <c r="AY76" s="57"/>
      <c r="AZ76" s="57"/>
      <c r="BA76" s="57"/>
      <c r="BB76" s="58"/>
      <c r="BC76" s="57"/>
      <c r="BD76" s="58"/>
      <c r="BE76" s="57"/>
      <c r="BF76" s="57"/>
      <c r="BG76" s="57"/>
      <c r="BH76" s="57"/>
      <c r="BI76" s="54"/>
      <c r="BJ76" s="53"/>
      <c r="BK76" s="53"/>
      <c r="BL76" s="59"/>
      <c r="BM76" s="59"/>
      <c r="BN76" s="59"/>
      <c r="BO76" s="59"/>
      <c r="BP76" s="60"/>
      <c r="BQ76" s="59"/>
      <c r="BR76" s="59"/>
      <c r="BS76" s="59"/>
      <c r="BT76" s="59"/>
      <c r="BU76" s="59"/>
      <c r="BV76" s="59"/>
      <c r="BW76" s="59"/>
      <c r="BX76" s="60"/>
      <c r="BY76" s="61"/>
      <c r="BZ76" s="61"/>
      <c r="CA76" s="61"/>
      <c r="CB76" s="61"/>
      <c r="CC76" s="61"/>
      <c r="CD76" s="61"/>
      <c r="CE76" s="61"/>
      <c r="CF76" s="61"/>
      <c r="CG76" s="55"/>
      <c r="CH76" s="55"/>
      <c r="CI76" s="28"/>
      <c r="CJ76" s="49"/>
      <c r="CK76" s="50" t="str">
        <f t="shared" si="1"/>
        <v>24</v>
      </c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</row>
    <row r="77" ht="15.75" customHeight="1">
      <c r="A77" s="51" t="s">
        <v>235</v>
      </c>
      <c r="B77" s="52" t="s">
        <v>236</v>
      </c>
      <c r="C77" s="53"/>
      <c r="D77" s="54"/>
      <c r="E77" s="53"/>
      <c r="F77" s="54"/>
      <c r="G77" s="53"/>
      <c r="H77" s="53"/>
      <c r="I77" s="54"/>
      <c r="J77" s="53"/>
      <c r="K77" s="53"/>
      <c r="L77" s="54"/>
      <c r="M77" s="54"/>
      <c r="N77" s="54"/>
      <c r="O77" s="53"/>
      <c r="P77" s="53"/>
      <c r="Q77" s="53"/>
      <c r="R77" s="53"/>
      <c r="S77" s="54"/>
      <c r="T77" s="53"/>
      <c r="U77" s="54"/>
      <c r="V77" s="54"/>
      <c r="W77" s="42"/>
      <c r="X77" s="42"/>
      <c r="Y77" s="42"/>
      <c r="Z77" s="55"/>
      <c r="AA77" s="42"/>
      <c r="AB77" s="42"/>
      <c r="AC77" s="42"/>
      <c r="AD77" s="42"/>
      <c r="AE77" s="42"/>
      <c r="AF77" s="55"/>
      <c r="AG77" s="55"/>
      <c r="AH77" s="42"/>
      <c r="AI77" s="20"/>
      <c r="AJ77" s="56"/>
      <c r="AK77" s="42"/>
      <c r="AL77" s="42"/>
      <c r="AM77" s="55"/>
      <c r="AN77" s="42"/>
      <c r="AO77" s="42"/>
      <c r="AP77" s="42"/>
      <c r="AQ77" s="42"/>
      <c r="AR77" s="42"/>
      <c r="AS77" s="42"/>
      <c r="AT77" s="55"/>
      <c r="AU77" s="57"/>
      <c r="AV77" s="57"/>
      <c r="AW77" s="57"/>
      <c r="AX77" s="57"/>
      <c r="AY77" s="57"/>
      <c r="AZ77" s="57"/>
      <c r="BA77" s="57"/>
      <c r="BB77" s="58"/>
      <c r="BC77" s="57"/>
      <c r="BD77" s="58"/>
      <c r="BE77" s="57"/>
      <c r="BF77" s="57"/>
      <c r="BG77" s="57"/>
      <c r="BH77" s="57"/>
      <c r="BI77" s="54"/>
      <c r="BJ77" s="53"/>
      <c r="BK77" s="53"/>
      <c r="BL77" s="59"/>
      <c r="BM77" s="59"/>
      <c r="BN77" s="59"/>
      <c r="BO77" s="59"/>
      <c r="BP77" s="60"/>
      <c r="BQ77" s="59"/>
      <c r="BR77" s="59"/>
      <c r="BS77" s="59"/>
      <c r="BT77" s="59"/>
      <c r="BU77" s="59"/>
      <c r="BV77" s="59"/>
      <c r="BW77" s="59"/>
      <c r="BX77" s="60" t="str">
        <f>60*BX3</f>
        <v>120</v>
      </c>
      <c r="BY77" s="61"/>
      <c r="BZ77" s="61"/>
      <c r="CA77" s="61"/>
      <c r="CB77" s="61"/>
      <c r="CC77" s="61"/>
      <c r="CD77" s="61"/>
      <c r="CE77" s="61"/>
      <c r="CF77" s="61"/>
      <c r="CG77" s="55"/>
      <c r="CH77" s="55"/>
      <c r="CI77" s="28"/>
      <c r="CJ77" s="49"/>
      <c r="CK77" s="50" t="str">
        <f t="shared" si="1"/>
        <v>120</v>
      </c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</row>
    <row r="78" ht="15.75" customHeight="1">
      <c r="A78" s="62" t="s">
        <v>237</v>
      </c>
      <c r="B78" s="63" t="s">
        <v>238</v>
      </c>
      <c r="C78" s="53"/>
      <c r="D78" s="54"/>
      <c r="E78" s="53"/>
      <c r="F78" s="54"/>
      <c r="G78" s="53"/>
      <c r="H78" s="53"/>
      <c r="I78" s="54"/>
      <c r="J78" s="53"/>
      <c r="K78" s="53"/>
      <c r="L78" s="54"/>
      <c r="M78" s="54"/>
      <c r="N78" s="54"/>
      <c r="O78" s="53"/>
      <c r="P78" s="53"/>
      <c r="Q78" s="53"/>
      <c r="R78" s="53"/>
      <c r="S78" s="54"/>
      <c r="T78" s="53"/>
      <c r="U78" s="54"/>
      <c r="V78" s="54"/>
      <c r="W78" s="42"/>
      <c r="X78" s="42"/>
      <c r="Y78" s="42"/>
      <c r="Z78" s="55"/>
      <c r="AA78" s="42"/>
      <c r="AB78" s="42"/>
      <c r="AC78" s="42"/>
      <c r="AD78" s="42"/>
      <c r="AE78" s="42"/>
      <c r="AF78" s="55"/>
      <c r="AG78" s="55"/>
      <c r="AH78" s="42"/>
      <c r="AI78" s="20"/>
      <c r="AJ78" s="56"/>
      <c r="AK78" s="42"/>
      <c r="AL78" s="42"/>
      <c r="AM78" s="55"/>
      <c r="AN78" s="42"/>
      <c r="AO78" s="42"/>
      <c r="AP78" s="42"/>
      <c r="AQ78" s="42"/>
      <c r="AR78" s="42"/>
      <c r="AS78" s="42"/>
      <c r="AT78" s="55"/>
      <c r="AU78" s="57"/>
      <c r="AV78" s="57" t="str">
        <f>AV3*1.2</f>
        <v>0</v>
      </c>
      <c r="AW78" s="57"/>
      <c r="AX78" s="57"/>
      <c r="AY78" s="57"/>
      <c r="AZ78" s="57"/>
      <c r="BA78" s="57"/>
      <c r="BB78" s="58"/>
      <c r="BC78" s="57"/>
      <c r="BD78" s="58"/>
      <c r="BE78" s="57"/>
      <c r="BF78" s="57"/>
      <c r="BG78" s="57" t="str">
        <f>BG3*2</f>
        <v>0</v>
      </c>
      <c r="BH78" s="57"/>
      <c r="BI78" s="54"/>
      <c r="BJ78" s="53"/>
      <c r="BK78" s="53"/>
      <c r="BL78" s="59"/>
      <c r="BM78" s="59"/>
      <c r="BN78" s="59"/>
      <c r="BO78" s="59"/>
      <c r="BP78" s="60"/>
      <c r="BQ78" s="59"/>
      <c r="BR78" s="59"/>
      <c r="BS78" s="59"/>
      <c r="BT78" s="59"/>
      <c r="BU78" s="59"/>
      <c r="BV78" s="59"/>
      <c r="BW78" s="59"/>
      <c r="BX78" s="60"/>
      <c r="BY78" s="61"/>
      <c r="BZ78" s="61"/>
      <c r="CA78" s="61"/>
      <c r="CB78" s="61"/>
      <c r="CC78" s="61"/>
      <c r="CD78" s="61"/>
      <c r="CE78" s="61"/>
      <c r="CF78" s="61"/>
      <c r="CG78" s="55"/>
      <c r="CH78" s="55"/>
      <c r="CI78" s="28"/>
      <c r="CJ78" s="49"/>
      <c r="CK78" s="50" t="str">
        <f t="shared" si="1"/>
        <v>0</v>
      </c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</row>
    <row r="79" ht="15.75" customHeight="1">
      <c r="A79" s="51" t="s">
        <v>239</v>
      </c>
      <c r="B79" s="52" t="s">
        <v>240</v>
      </c>
      <c r="C79" s="53"/>
      <c r="D79" s="54"/>
      <c r="E79" s="53" t="str">
        <f>E3*1</f>
        <v>5</v>
      </c>
      <c r="F79" s="54"/>
      <c r="G79" s="53"/>
      <c r="H79" s="53"/>
      <c r="I79" s="54"/>
      <c r="J79" s="53"/>
      <c r="K79" s="53"/>
      <c r="L79" s="54"/>
      <c r="M79" s="54"/>
      <c r="N79" s="54"/>
      <c r="O79" s="53"/>
      <c r="P79" s="53"/>
      <c r="Q79" s="53"/>
      <c r="R79" s="53"/>
      <c r="S79" s="54"/>
      <c r="T79" s="53"/>
      <c r="U79" s="54" t="str">
        <f>0.5*U3</f>
        <v>0</v>
      </c>
      <c r="V79" s="54"/>
      <c r="W79" s="42"/>
      <c r="X79" s="42"/>
      <c r="Y79" s="42"/>
      <c r="Z79" s="55"/>
      <c r="AA79" s="42"/>
      <c r="AB79" s="42"/>
      <c r="AC79" s="42"/>
      <c r="AD79" s="42"/>
      <c r="AE79" s="42"/>
      <c r="AF79" s="55"/>
      <c r="AG79" s="55"/>
      <c r="AH79" s="42"/>
      <c r="AI79" s="20"/>
      <c r="AJ79" s="56"/>
      <c r="AK79" s="42"/>
      <c r="AL79" s="42"/>
      <c r="AM79" s="55"/>
      <c r="AN79" s="42"/>
      <c r="AO79" s="42"/>
      <c r="AP79" s="42"/>
      <c r="AQ79" s="42"/>
      <c r="AR79" s="42"/>
      <c r="AS79" s="42"/>
      <c r="AT79" s="55"/>
      <c r="AU79" s="57"/>
      <c r="AV79" s="57"/>
      <c r="AW79" s="57"/>
      <c r="AX79" s="57"/>
      <c r="AY79" s="57"/>
      <c r="AZ79" s="57"/>
      <c r="BA79" s="57"/>
      <c r="BB79" s="58"/>
      <c r="BC79" s="57"/>
      <c r="BD79" s="58"/>
      <c r="BE79" s="57"/>
      <c r="BF79" s="57"/>
      <c r="BG79" s="57"/>
      <c r="BH79" s="57"/>
      <c r="BI79" s="54"/>
      <c r="BJ79" s="53"/>
      <c r="BK79" s="53"/>
      <c r="BL79" s="59"/>
      <c r="BM79" s="59"/>
      <c r="BN79" s="59"/>
      <c r="BO79" s="59"/>
      <c r="BP79" s="60"/>
      <c r="BQ79" s="59"/>
      <c r="BR79" s="59"/>
      <c r="BS79" s="59"/>
      <c r="BT79" s="59"/>
      <c r="BU79" s="59"/>
      <c r="BV79" s="59"/>
      <c r="BW79" s="59"/>
      <c r="BX79" s="60"/>
      <c r="BY79" s="61"/>
      <c r="BZ79" s="61"/>
      <c r="CA79" s="61"/>
      <c r="CB79" s="61"/>
      <c r="CC79" s="61"/>
      <c r="CD79" s="61"/>
      <c r="CE79" s="61"/>
      <c r="CF79" s="61"/>
      <c r="CG79" s="55"/>
      <c r="CH79" s="55"/>
      <c r="CI79" s="28"/>
      <c r="CJ79" s="49"/>
      <c r="CK79" s="50" t="str">
        <f t="shared" si="1"/>
        <v>5</v>
      </c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</row>
    <row r="80" ht="15.75" customHeight="1">
      <c r="A80" s="62" t="s">
        <v>241</v>
      </c>
      <c r="B80" s="63" t="s">
        <v>242</v>
      </c>
      <c r="C80" s="53"/>
      <c r="D80" s="54"/>
      <c r="E80" s="53"/>
      <c r="F80" s="54"/>
      <c r="G80" s="53"/>
      <c r="H80" s="53"/>
      <c r="I80" s="54"/>
      <c r="J80" s="53"/>
      <c r="K80" s="53"/>
      <c r="L80" s="54"/>
      <c r="M80" s="54"/>
      <c r="N80" s="54"/>
      <c r="O80" s="53"/>
      <c r="P80" s="53"/>
      <c r="Q80" s="53"/>
      <c r="R80" s="53"/>
      <c r="S80" s="54"/>
      <c r="T80" s="53"/>
      <c r="U80" s="54"/>
      <c r="V80" s="54"/>
      <c r="W80" s="42"/>
      <c r="X80" s="42"/>
      <c r="Y80" s="42"/>
      <c r="Z80" s="55"/>
      <c r="AA80" s="42"/>
      <c r="AB80" s="42"/>
      <c r="AC80" s="42"/>
      <c r="AD80" s="42"/>
      <c r="AE80" s="42"/>
      <c r="AF80" s="55"/>
      <c r="AG80" s="55"/>
      <c r="AH80" s="42"/>
      <c r="AI80" s="20"/>
      <c r="AJ80" s="56"/>
      <c r="AK80" s="42"/>
      <c r="AL80" s="42"/>
      <c r="AM80" s="55"/>
      <c r="AN80" s="42"/>
      <c r="AO80" s="42"/>
      <c r="AP80" s="42"/>
      <c r="AQ80" s="42"/>
      <c r="AR80" s="42"/>
      <c r="AS80" s="42"/>
      <c r="AT80" s="55"/>
      <c r="AU80" s="57"/>
      <c r="AV80" s="57"/>
      <c r="AW80" s="57"/>
      <c r="AX80" s="57"/>
      <c r="AY80" s="57"/>
      <c r="AZ80" s="57"/>
      <c r="BA80" s="57"/>
      <c r="BB80" s="58"/>
      <c r="BC80" s="57"/>
      <c r="BD80" s="58"/>
      <c r="BE80" s="57"/>
      <c r="BF80" s="57"/>
      <c r="BG80" s="57"/>
      <c r="BH80" s="57"/>
      <c r="BI80" s="54"/>
      <c r="BJ80" s="53"/>
      <c r="BK80" s="53"/>
      <c r="BL80" s="59"/>
      <c r="BM80" s="59"/>
      <c r="BN80" s="59"/>
      <c r="BO80" s="59"/>
      <c r="BP80" s="60"/>
      <c r="BQ80" s="59"/>
      <c r="BR80" s="59"/>
      <c r="BS80" s="59"/>
      <c r="BT80" s="59"/>
      <c r="BU80" s="59"/>
      <c r="BV80" s="59"/>
      <c r="BW80" s="59"/>
      <c r="BX80" s="60"/>
      <c r="BY80" s="61"/>
      <c r="BZ80" s="61"/>
      <c r="CA80" s="61"/>
      <c r="CB80" s="61"/>
      <c r="CC80" s="61"/>
      <c r="CD80" s="61"/>
      <c r="CE80" s="61"/>
      <c r="CF80" s="61"/>
      <c r="CG80" s="55"/>
      <c r="CH80" s="55"/>
      <c r="CI80" s="28"/>
      <c r="CJ80" s="49"/>
      <c r="CK80" s="50" t="str">
        <f t="shared" si="1"/>
        <v>0</v>
      </c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</row>
    <row r="81" ht="15.75" customHeight="1">
      <c r="A81" s="51" t="s">
        <v>243</v>
      </c>
      <c r="B81" s="52" t="s">
        <v>244</v>
      </c>
      <c r="C81" s="53"/>
      <c r="D81" s="54"/>
      <c r="E81" s="53"/>
      <c r="F81" s="54"/>
      <c r="G81" s="53"/>
      <c r="H81" s="53"/>
      <c r="I81" s="54"/>
      <c r="J81" s="53"/>
      <c r="K81" s="53"/>
      <c r="L81" s="54"/>
      <c r="M81" s="54"/>
      <c r="N81" s="54"/>
      <c r="O81" s="53"/>
      <c r="P81" s="53"/>
      <c r="Q81" s="53"/>
      <c r="R81" s="53"/>
      <c r="S81" s="54"/>
      <c r="T81" s="53"/>
      <c r="U81" s="54"/>
      <c r="V81" s="54"/>
      <c r="W81" s="42"/>
      <c r="X81" s="42"/>
      <c r="Y81" s="42"/>
      <c r="Z81" s="55"/>
      <c r="AA81" s="42"/>
      <c r="AB81" s="42"/>
      <c r="AC81" s="42"/>
      <c r="AD81" s="42"/>
      <c r="AE81" s="42"/>
      <c r="AF81" s="55"/>
      <c r="AG81" s="55"/>
      <c r="AH81" s="42"/>
      <c r="AI81" s="20"/>
      <c r="AJ81" s="56"/>
      <c r="AK81" s="42"/>
      <c r="AL81" s="42"/>
      <c r="AM81" s="55"/>
      <c r="AN81" s="42"/>
      <c r="AO81" s="42"/>
      <c r="AP81" s="42"/>
      <c r="AQ81" s="42"/>
      <c r="AR81" s="42"/>
      <c r="AS81" s="42"/>
      <c r="AT81" s="55"/>
      <c r="AU81" s="57"/>
      <c r="AV81" s="57"/>
      <c r="AW81" s="57"/>
      <c r="AX81" s="57"/>
      <c r="AY81" s="57"/>
      <c r="AZ81" s="57"/>
      <c r="BA81" s="57"/>
      <c r="BB81" s="58"/>
      <c r="BC81" s="57"/>
      <c r="BD81" s="58"/>
      <c r="BE81" s="57"/>
      <c r="BF81" s="57"/>
      <c r="BG81" s="57"/>
      <c r="BH81" s="57"/>
      <c r="BI81" s="54"/>
      <c r="BJ81" s="53"/>
      <c r="BK81" s="53"/>
      <c r="BL81" s="59"/>
      <c r="BM81" s="59"/>
      <c r="BN81" s="59"/>
      <c r="BO81" s="59"/>
      <c r="BP81" s="60"/>
      <c r="BQ81" s="59"/>
      <c r="BR81" s="59"/>
      <c r="BS81" s="59"/>
      <c r="BT81" s="59"/>
      <c r="BU81" s="59"/>
      <c r="BV81" s="59"/>
      <c r="BW81" s="59"/>
      <c r="BX81" s="60"/>
      <c r="BY81" s="61"/>
      <c r="BZ81" s="61"/>
      <c r="CA81" s="61"/>
      <c r="CB81" s="61"/>
      <c r="CC81" s="61"/>
      <c r="CD81" s="61"/>
      <c r="CE81" s="61"/>
      <c r="CF81" s="61"/>
      <c r="CG81" s="55"/>
      <c r="CH81" s="55"/>
      <c r="CI81" s="28"/>
      <c r="CJ81" s="49"/>
      <c r="CK81" s="50" t="str">
        <f t="shared" si="1"/>
        <v>0</v>
      </c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</row>
    <row r="82" ht="15.75" customHeight="1">
      <c r="A82" s="62" t="s">
        <v>245</v>
      </c>
      <c r="B82" s="63" t="s">
        <v>246</v>
      </c>
      <c r="C82" s="53"/>
      <c r="D82" s="54"/>
      <c r="E82" s="53"/>
      <c r="F82" s="54"/>
      <c r="G82" s="53"/>
      <c r="H82" s="53"/>
      <c r="I82" s="54"/>
      <c r="J82" s="53"/>
      <c r="K82" s="53"/>
      <c r="L82" s="54"/>
      <c r="M82" s="54"/>
      <c r="N82" s="54"/>
      <c r="O82" s="53"/>
      <c r="P82" s="53"/>
      <c r="Q82" s="53"/>
      <c r="R82" s="53"/>
      <c r="S82" s="54"/>
      <c r="T82" s="53"/>
      <c r="U82" s="54"/>
      <c r="V82" s="54"/>
      <c r="W82" s="42"/>
      <c r="X82" s="42"/>
      <c r="Y82" s="42"/>
      <c r="Z82" s="55"/>
      <c r="AA82" s="42"/>
      <c r="AB82" s="42"/>
      <c r="AC82" s="42"/>
      <c r="AD82" s="42"/>
      <c r="AE82" s="42"/>
      <c r="AF82" s="55"/>
      <c r="AG82" s="55"/>
      <c r="AH82" s="42"/>
      <c r="AI82" s="20"/>
      <c r="AJ82" s="56"/>
      <c r="AK82" s="42"/>
      <c r="AL82" s="42"/>
      <c r="AM82" s="55"/>
      <c r="AN82" s="42"/>
      <c r="AO82" s="42"/>
      <c r="AP82" s="42"/>
      <c r="AQ82" s="42"/>
      <c r="AR82" s="42"/>
      <c r="AS82" s="42"/>
      <c r="AT82" s="55"/>
      <c r="AU82" s="57"/>
      <c r="AV82" s="57"/>
      <c r="AW82" s="57"/>
      <c r="AX82" s="57"/>
      <c r="AY82" s="57"/>
      <c r="AZ82" s="57"/>
      <c r="BA82" s="57"/>
      <c r="BB82" s="58"/>
      <c r="BC82" s="57"/>
      <c r="BD82" s="58"/>
      <c r="BE82" s="57"/>
      <c r="BF82" s="57"/>
      <c r="BG82" s="57"/>
      <c r="BH82" s="57"/>
      <c r="BI82" s="54"/>
      <c r="BJ82" s="53"/>
      <c r="BK82" s="53"/>
      <c r="BL82" s="59"/>
      <c r="BM82" s="59"/>
      <c r="BN82" s="59"/>
      <c r="BO82" s="59"/>
      <c r="BP82" s="60"/>
      <c r="BQ82" s="59"/>
      <c r="BR82" s="59"/>
      <c r="BS82" s="59"/>
      <c r="BT82" s="59"/>
      <c r="BU82" s="59"/>
      <c r="BV82" s="59"/>
      <c r="BW82" s="59"/>
      <c r="BX82" s="60"/>
      <c r="BY82" s="61"/>
      <c r="BZ82" s="61"/>
      <c r="CA82" s="61"/>
      <c r="CB82" s="61"/>
      <c r="CC82" s="61"/>
      <c r="CD82" s="61"/>
      <c r="CE82" s="61"/>
      <c r="CF82" s="61"/>
      <c r="CG82" s="55"/>
      <c r="CH82" s="55"/>
      <c r="CI82" s="28"/>
      <c r="CJ82" s="49"/>
      <c r="CK82" s="50" t="str">
        <f t="shared" si="1"/>
        <v>0</v>
      </c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</row>
    <row r="83" ht="15.75" customHeight="1">
      <c r="A83" s="51" t="s">
        <v>247</v>
      </c>
      <c r="B83" s="52" t="s">
        <v>248</v>
      </c>
      <c r="C83" s="53"/>
      <c r="D83" s="54"/>
      <c r="E83" s="53"/>
      <c r="F83" s="54"/>
      <c r="G83" s="53"/>
      <c r="H83" s="53"/>
      <c r="I83" s="54"/>
      <c r="J83" s="53"/>
      <c r="K83" s="53"/>
      <c r="L83" s="54"/>
      <c r="M83" s="54"/>
      <c r="N83" s="54"/>
      <c r="O83" s="53"/>
      <c r="P83" s="53" t="str">
        <f>P3*20</f>
        <v>20</v>
      </c>
      <c r="Q83" s="53"/>
      <c r="R83" s="53"/>
      <c r="S83" s="54"/>
      <c r="T83" s="53"/>
      <c r="U83" s="54"/>
      <c r="V83" s="54"/>
      <c r="W83" s="42"/>
      <c r="X83" s="42"/>
      <c r="Y83" s="42"/>
      <c r="Z83" s="55"/>
      <c r="AA83" s="42"/>
      <c r="AB83" s="42"/>
      <c r="AC83" s="42"/>
      <c r="AD83" s="42"/>
      <c r="AE83" s="42"/>
      <c r="AF83" s="55"/>
      <c r="AG83" s="55"/>
      <c r="AH83" s="42"/>
      <c r="AI83" s="20"/>
      <c r="AJ83" s="56"/>
      <c r="AK83" s="42"/>
      <c r="AL83" s="42"/>
      <c r="AM83" s="55"/>
      <c r="AN83" s="42"/>
      <c r="AO83" s="42"/>
      <c r="AP83" s="42"/>
      <c r="AQ83" s="42"/>
      <c r="AR83" s="42"/>
      <c r="AS83" s="42"/>
      <c r="AT83" s="55"/>
      <c r="AU83" s="57"/>
      <c r="AV83" s="57"/>
      <c r="AW83" s="57"/>
      <c r="AX83" s="57"/>
      <c r="AY83" s="57"/>
      <c r="AZ83" s="57"/>
      <c r="BA83" s="57"/>
      <c r="BB83" s="58"/>
      <c r="BC83" s="57"/>
      <c r="BD83" s="58"/>
      <c r="BE83" s="57"/>
      <c r="BF83" s="57"/>
      <c r="BG83" s="57"/>
      <c r="BH83" s="57"/>
      <c r="BI83" s="54"/>
      <c r="BJ83" s="53"/>
      <c r="BK83" s="53"/>
      <c r="BL83" s="59"/>
      <c r="BM83" s="59"/>
      <c r="BN83" s="59"/>
      <c r="BO83" s="59"/>
      <c r="BP83" s="60"/>
      <c r="BQ83" s="59"/>
      <c r="BR83" s="59"/>
      <c r="BS83" s="59"/>
      <c r="BT83" s="59"/>
      <c r="BU83" s="59"/>
      <c r="BV83" s="59"/>
      <c r="BW83" s="59"/>
      <c r="BX83" s="60"/>
      <c r="BY83" s="61"/>
      <c r="BZ83" s="61"/>
      <c r="CA83" s="61"/>
      <c r="CB83" s="61"/>
      <c r="CC83" s="61"/>
      <c r="CD83" s="61"/>
      <c r="CE83" s="61"/>
      <c r="CF83" s="61"/>
      <c r="CG83" s="55"/>
      <c r="CH83" s="55"/>
      <c r="CI83" s="28"/>
      <c r="CJ83" s="49"/>
      <c r="CK83" s="50" t="str">
        <f t="shared" si="1"/>
        <v>20</v>
      </c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</row>
    <row r="84" ht="15.75" customHeight="1">
      <c r="A84" s="62" t="s">
        <v>249</v>
      </c>
      <c r="B84" s="62" t="s">
        <v>250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55"/>
      <c r="AH84" s="42"/>
      <c r="AI84" s="20"/>
      <c r="AJ84" s="56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4"/>
      <c r="BJ84" s="54"/>
      <c r="BK84" s="54"/>
      <c r="BL84" s="60"/>
      <c r="BM84" s="60"/>
      <c r="BN84" s="60"/>
      <c r="BO84" s="60"/>
      <c r="BP84" s="60"/>
      <c r="BQ84" s="60"/>
      <c r="BR84" s="60" t="str">
        <f>BR3*100</f>
        <v>50</v>
      </c>
      <c r="BS84" s="60"/>
      <c r="BT84" s="60"/>
      <c r="BU84" s="60"/>
      <c r="BV84" s="60"/>
      <c r="BW84" s="60"/>
      <c r="BX84" s="60"/>
      <c r="BY84" s="61"/>
      <c r="BZ84" s="61"/>
      <c r="CA84" s="61"/>
      <c r="CB84" s="61"/>
      <c r="CC84" s="61"/>
      <c r="CD84" s="61"/>
      <c r="CE84" s="61"/>
      <c r="CF84" s="61"/>
      <c r="CG84" s="55"/>
      <c r="CH84" s="55"/>
      <c r="CI84" s="28"/>
      <c r="CJ84" s="49"/>
      <c r="CK84" s="50" t="str">
        <f t="shared" si="1"/>
        <v>50</v>
      </c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</row>
    <row r="85" ht="15.75" customHeight="1">
      <c r="A85" s="51" t="s">
        <v>251</v>
      </c>
      <c r="B85" s="52" t="s">
        <v>252</v>
      </c>
      <c r="C85" s="53"/>
      <c r="D85" s="54"/>
      <c r="E85" s="53"/>
      <c r="F85" s="54"/>
      <c r="G85" s="53"/>
      <c r="H85" s="53"/>
      <c r="I85" s="54"/>
      <c r="J85" s="53"/>
      <c r="K85" s="53"/>
      <c r="L85" s="54"/>
      <c r="M85" s="54"/>
      <c r="N85" s="54"/>
      <c r="O85" s="53"/>
      <c r="P85" s="53"/>
      <c r="Q85" s="53"/>
      <c r="R85" s="53"/>
      <c r="S85" s="54"/>
      <c r="T85" s="53"/>
      <c r="U85" s="54"/>
      <c r="V85" s="54"/>
      <c r="W85" s="42"/>
      <c r="X85" s="42"/>
      <c r="Y85" s="42"/>
      <c r="Z85" s="55"/>
      <c r="AA85" s="42"/>
      <c r="AB85" s="42"/>
      <c r="AC85" s="42"/>
      <c r="AD85" s="42"/>
      <c r="AE85" s="42"/>
      <c r="AF85" s="55"/>
      <c r="AG85" s="55"/>
      <c r="AH85" s="42"/>
      <c r="AI85" s="20"/>
      <c r="AJ85" s="56"/>
      <c r="AK85" s="42"/>
      <c r="AL85" s="42"/>
      <c r="AM85" s="55"/>
      <c r="AN85" s="42"/>
      <c r="AO85" s="42"/>
      <c r="AP85" s="42"/>
      <c r="AQ85" s="42"/>
      <c r="AR85" s="42"/>
      <c r="AS85" s="42"/>
      <c r="AT85" s="55"/>
      <c r="AU85" s="57"/>
      <c r="AV85" s="57"/>
      <c r="AW85" s="57"/>
      <c r="AX85" s="57"/>
      <c r="AY85" s="57"/>
      <c r="AZ85" s="57"/>
      <c r="BA85" s="57"/>
      <c r="BB85" s="58"/>
      <c r="BC85" s="57"/>
      <c r="BD85" s="58"/>
      <c r="BE85" s="57"/>
      <c r="BF85" s="57"/>
      <c r="BG85" s="57"/>
      <c r="BH85" s="57"/>
      <c r="BI85" s="54"/>
      <c r="BJ85" s="53"/>
      <c r="BK85" s="53"/>
      <c r="BL85" s="59"/>
      <c r="BM85" s="59"/>
      <c r="BN85" s="59"/>
      <c r="BO85" s="59"/>
      <c r="BP85" s="60"/>
      <c r="BQ85" s="59"/>
      <c r="BR85" s="59"/>
      <c r="BS85" s="59"/>
      <c r="BT85" s="59"/>
      <c r="BU85" s="59"/>
      <c r="BV85" s="59"/>
      <c r="BW85" s="59"/>
      <c r="BX85" s="60"/>
      <c r="BY85" s="61"/>
      <c r="BZ85" s="61"/>
      <c r="CA85" s="61"/>
      <c r="CB85" s="61"/>
      <c r="CC85" s="61"/>
      <c r="CD85" s="61"/>
      <c r="CE85" s="61"/>
      <c r="CF85" s="61" t="str">
        <f>CF3*2000</f>
        <v>0</v>
      </c>
      <c r="CG85" s="55"/>
      <c r="CH85" s="55"/>
      <c r="CI85" s="28"/>
      <c r="CJ85" s="49"/>
      <c r="CK85" s="50" t="str">
        <f t="shared" si="1"/>
        <v>0</v>
      </c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</row>
    <row r="86" ht="15.75" customHeight="1">
      <c r="A86" s="62" t="s">
        <v>253</v>
      </c>
      <c r="B86" s="63" t="s">
        <v>254</v>
      </c>
      <c r="C86" s="53"/>
      <c r="D86" s="54"/>
      <c r="E86" s="53"/>
      <c r="F86" s="54"/>
      <c r="G86" s="53"/>
      <c r="H86" s="53"/>
      <c r="I86" s="54"/>
      <c r="J86" s="53"/>
      <c r="K86" s="53"/>
      <c r="L86" s="54"/>
      <c r="M86" s="54"/>
      <c r="N86" s="54"/>
      <c r="O86" s="53"/>
      <c r="P86" s="53"/>
      <c r="Q86" s="53"/>
      <c r="R86" s="53"/>
      <c r="S86" s="54"/>
      <c r="T86" s="53"/>
      <c r="U86" s="54"/>
      <c r="V86" s="54"/>
      <c r="W86" s="42"/>
      <c r="X86" s="42"/>
      <c r="Y86" s="42"/>
      <c r="Z86" s="55"/>
      <c r="AA86" s="42"/>
      <c r="AB86" s="42"/>
      <c r="AC86" s="42"/>
      <c r="AD86" s="42"/>
      <c r="AE86" s="42"/>
      <c r="AF86" s="55"/>
      <c r="AG86" s="55"/>
      <c r="AH86" s="42"/>
      <c r="AI86" s="20"/>
      <c r="AJ86" s="56"/>
      <c r="AK86" s="42"/>
      <c r="AL86" s="42"/>
      <c r="AM86" s="55"/>
      <c r="AN86" s="42"/>
      <c r="AO86" s="42"/>
      <c r="AP86" s="42"/>
      <c r="AQ86" s="42"/>
      <c r="AR86" s="42"/>
      <c r="AS86" s="42"/>
      <c r="AT86" s="55"/>
      <c r="AU86" s="57"/>
      <c r="AV86" s="57"/>
      <c r="AW86" s="57"/>
      <c r="AX86" s="57"/>
      <c r="AY86" s="57"/>
      <c r="AZ86" s="57"/>
      <c r="BA86" s="57"/>
      <c r="BB86" s="58"/>
      <c r="BC86" s="57"/>
      <c r="BD86" s="58"/>
      <c r="BE86" s="57"/>
      <c r="BF86" s="57"/>
      <c r="BG86" s="57"/>
      <c r="BH86" s="57"/>
      <c r="BI86" s="54"/>
      <c r="BJ86" s="53"/>
      <c r="BK86" s="53"/>
      <c r="BL86" s="59"/>
      <c r="BM86" s="59"/>
      <c r="BN86" s="59"/>
      <c r="BO86" s="59"/>
      <c r="BP86" s="60"/>
      <c r="BQ86" s="59"/>
      <c r="BR86" s="59" t="str">
        <f>BR3*20</f>
        <v>10</v>
      </c>
      <c r="BS86" s="59"/>
      <c r="BT86" s="59"/>
      <c r="BU86" s="59"/>
      <c r="BV86" s="59"/>
      <c r="BW86" s="59"/>
      <c r="BX86" s="60"/>
      <c r="BY86" s="61"/>
      <c r="BZ86" s="61"/>
      <c r="CA86" s="61"/>
      <c r="CB86" s="61"/>
      <c r="CC86" s="61"/>
      <c r="CD86" s="61"/>
      <c r="CE86" s="61"/>
      <c r="CF86" s="61"/>
      <c r="CG86" s="55"/>
      <c r="CH86" s="55"/>
      <c r="CI86" s="28"/>
      <c r="CJ86" s="49"/>
      <c r="CK86" s="50" t="str">
        <f t="shared" si="1"/>
        <v>10</v>
      </c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</row>
    <row r="87" ht="15.75" customHeight="1">
      <c r="A87" s="51" t="s">
        <v>255</v>
      </c>
      <c r="B87" s="52" t="s">
        <v>256</v>
      </c>
      <c r="C87" s="53"/>
      <c r="D87" s="54"/>
      <c r="E87" s="53"/>
      <c r="F87" s="54"/>
      <c r="G87" s="53"/>
      <c r="H87" s="53"/>
      <c r="I87" s="54"/>
      <c r="J87" s="53"/>
      <c r="K87" s="53"/>
      <c r="L87" s="54"/>
      <c r="M87" s="54"/>
      <c r="N87" s="54"/>
      <c r="O87" s="53"/>
      <c r="P87" s="53"/>
      <c r="Q87" s="53"/>
      <c r="R87" s="53"/>
      <c r="S87" s="54"/>
      <c r="T87" s="53"/>
      <c r="U87" s="54"/>
      <c r="V87" s="54"/>
      <c r="W87" s="42"/>
      <c r="X87" s="42"/>
      <c r="Y87" s="42"/>
      <c r="Z87" s="55"/>
      <c r="AA87" s="42"/>
      <c r="AB87" s="42"/>
      <c r="AC87" s="42"/>
      <c r="AD87" s="42"/>
      <c r="AE87" s="42"/>
      <c r="AF87" s="55"/>
      <c r="AG87" s="55"/>
      <c r="AH87" s="42"/>
      <c r="AI87" s="20"/>
      <c r="AJ87" s="56"/>
      <c r="AK87" s="42"/>
      <c r="AL87" s="42"/>
      <c r="AM87" s="55"/>
      <c r="AN87" s="42"/>
      <c r="AO87" s="42"/>
      <c r="AP87" s="42"/>
      <c r="AQ87" s="42"/>
      <c r="AR87" s="42"/>
      <c r="AS87" s="42"/>
      <c r="AT87" s="55"/>
      <c r="AU87" s="57"/>
      <c r="AV87" s="57"/>
      <c r="AW87" s="57"/>
      <c r="AX87" s="57"/>
      <c r="AY87" s="57"/>
      <c r="AZ87" s="57"/>
      <c r="BA87" s="57"/>
      <c r="BB87" s="58"/>
      <c r="BC87" s="57"/>
      <c r="BD87" s="58"/>
      <c r="BE87" s="57"/>
      <c r="BF87" s="57"/>
      <c r="BG87" s="57"/>
      <c r="BH87" s="57"/>
      <c r="BI87" s="54"/>
      <c r="BJ87" s="53"/>
      <c r="BK87" s="53"/>
      <c r="BL87" s="59"/>
      <c r="BM87" s="59"/>
      <c r="BN87" s="59"/>
      <c r="BO87" s="59"/>
      <c r="BP87" s="60"/>
      <c r="BQ87" s="59"/>
      <c r="BR87" s="59" t="str">
        <f>BR3*40</f>
        <v>20</v>
      </c>
      <c r="BS87" s="59"/>
      <c r="BT87" s="59"/>
      <c r="BU87" s="59"/>
      <c r="BV87" s="59"/>
      <c r="BW87" s="59"/>
      <c r="BX87" s="60"/>
      <c r="BY87" s="61"/>
      <c r="BZ87" s="61"/>
      <c r="CA87" s="61"/>
      <c r="CB87" s="61"/>
      <c r="CC87" s="61"/>
      <c r="CD87" s="61"/>
      <c r="CE87" s="61"/>
      <c r="CF87" s="61"/>
      <c r="CG87" s="55"/>
      <c r="CH87" s="55"/>
      <c r="CI87" s="28"/>
      <c r="CJ87" s="49"/>
      <c r="CK87" s="50" t="str">
        <f t="shared" si="1"/>
        <v>20</v>
      </c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</row>
    <row r="88" ht="15.75" customHeight="1">
      <c r="A88" s="62" t="s">
        <v>257</v>
      </c>
      <c r="B88" s="63" t="s">
        <v>258</v>
      </c>
      <c r="C88" s="53"/>
      <c r="D88" s="54"/>
      <c r="E88" s="53"/>
      <c r="F88" s="54"/>
      <c r="G88" s="53"/>
      <c r="H88" s="53"/>
      <c r="I88" s="54"/>
      <c r="J88" s="53"/>
      <c r="K88" s="53"/>
      <c r="L88" s="54"/>
      <c r="M88" s="54"/>
      <c r="N88" s="54"/>
      <c r="O88" s="53"/>
      <c r="P88" s="53"/>
      <c r="Q88" s="53"/>
      <c r="R88" s="53"/>
      <c r="S88" s="54"/>
      <c r="T88" s="53"/>
      <c r="U88" s="54"/>
      <c r="V88" s="54"/>
      <c r="W88" s="42"/>
      <c r="X88" s="42"/>
      <c r="Y88" s="42"/>
      <c r="Z88" s="55"/>
      <c r="AA88" s="42"/>
      <c r="AB88" s="42"/>
      <c r="AC88" s="42"/>
      <c r="AD88" s="42"/>
      <c r="AE88" s="42"/>
      <c r="AF88" s="55"/>
      <c r="AG88" s="55"/>
      <c r="AH88" s="42"/>
      <c r="AI88" s="20"/>
      <c r="AJ88" s="56"/>
      <c r="AK88" s="42"/>
      <c r="AL88" s="42"/>
      <c r="AM88" s="55"/>
      <c r="AN88" s="42"/>
      <c r="AO88" s="42"/>
      <c r="AP88" s="42"/>
      <c r="AQ88" s="42"/>
      <c r="AR88" s="42"/>
      <c r="AS88" s="42"/>
      <c r="AT88" s="55"/>
      <c r="AU88" s="57"/>
      <c r="AV88" s="57"/>
      <c r="AW88" s="57"/>
      <c r="AX88" s="57"/>
      <c r="AY88" s="57"/>
      <c r="AZ88" s="57"/>
      <c r="BA88" s="57"/>
      <c r="BB88" s="58"/>
      <c r="BC88" s="57"/>
      <c r="BD88" s="58"/>
      <c r="BE88" s="57" t="str">
        <f t="shared" ref="BE88:BF88" si="18">BE3*6</f>
        <v>0</v>
      </c>
      <c r="BF88" s="57" t="str">
        <f t="shared" si="18"/>
        <v>0</v>
      </c>
      <c r="BG88" s="57"/>
      <c r="BH88" s="57"/>
      <c r="BI88" s="54"/>
      <c r="BJ88" s="53"/>
      <c r="BK88" s="53"/>
      <c r="BL88" s="59"/>
      <c r="BM88" s="59"/>
      <c r="BN88" s="59"/>
      <c r="BO88" s="59"/>
      <c r="BP88" s="60"/>
      <c r="BQ88" s="59"/>
      <c r="BR88" s="59"/>
      <c r="BS88" s="59"/>
      <c r="BT88" s="59"/>
      <c r="BU88" s="59"/>
      <c r="BV88" s="59"/>
      <c r="BW88" s="59"/>
      <c r="BX88" s="60"/>
      <c r="BY88" s="61"/>
      <c r="BZ88" s="61"/>
      <c r="CA88" s="61"/>
      <c r="CB88" s="61"/>
      <c r="CC88" s="61"/>
      <c r="CD88" s="61"/>
      <c r="CE88" s="61"/>
      <c r="CF88" s="61"/>
      <c r="CG88" s="55"/>
      <c r="CH88" s="55"/>
      <c r="CI88" s="28"/>
      <c r="CJ88" s="49"/>
      <c r="CK88" s="50" t="str">
        <f t="shared" si="1"/>
        <v>0</v>
      </c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</row>
    <row r="89" ht="15.75" customHeight="1">
      <c r="A89" s="51" t="s">
        <v>259</v>
      </c>
      <c r="B89" s="52" t="s">
        <v>260</v>
      </c>
      <c r="C89" s="53"/>
      <c r="D89" s="54"/>
      <c r="E89" s="53"/>
      <c r="F89" s="54"/>
      <c r="G89" s="53"/>
      <c r="H89" s="53"/>
      <c r="I89" s="54"/>
      <c r="J89" s="53"/>
      <c r="K89" s="53"/>
      <c r="L89" s="54"/>
      <c r="M89" s="54"/>
      <c r="N89" s="54"/>
      <c r="O89" s="53"/>
      <c r="P89" s="53"/>
      <c r="Q89" s="53"/>
      <c r="R89" s="53"/>
      <c r="S89" s="54"/>
      <c r="T89" s="53"/>
      <c r="U89" s="54"/>
      <c r="V89" s="54"/>
      <c r="W89" s="42"/>
      <c r="X89" s="42"/>
      <c r="Y89" s="42"/>
      <c r="Z89" s="55"/>
      <c r="AA89" s="42"/>
      <c r="AB89" s="42"/>
      <c r="AC89" s="42"/>
      <c r="AD89" s="42"/>
      <c r="AE89" s="42"/>
      <c r="AF89" s="55"/>
      <c r="AG89" s="55"/>
      <c r="AH89" s="42"/>
      <c r="AI89" s="20"/>
      <c r="AJ89" s="56"/>
      <c r="AK89" s="42"/>
      <c r="AL89" s="42"/>
      <c r="AM89" s="55"/>
      <c r="AN89" s="42"/>
      <c r="AO89" s="42"/>
      <c r="AP89" s="42"/>
      <c r="AQ89" s="42"/>
      <c r="AR89" s="42"/>
      <c r="AS89" s="42"/>
      <c r="AT89" s="55"/>
      <c r="AU89" s="57"/>
      <c r="AV89" s="57"/>
      <c r="AW89" s="57"/>
      <c r="AX89" s="57"/>
      <c r="AY89" s="57" t="str">
        <f>AY3*6</f>
        <v>3</v>
      </c>
      <c r="AZ89" s="57" t="str">
        <f>AW3*6</f>
        <v>0</v>
      </c>
      <c r="BA89" s="57"/>
      <c r="BB89" s="58"/>
      <c r="BC89" s="57" t="str">
        <f>6*BC3</f>
        <v>0</v>
      </c>
      <c r="BD89" s="58"/>
      <c r="BE89" s="57"/>
      <c r="BF89" s="57"/>
      <c r="BG89" s="57"/>
      <c r="BH89" s="57"/>
      <c r="BI89" s="54"/>
      <c r="BJ89" s="53"/>
      <c r="BK89" s="53"/>
      <c r="BL89" s="59"/>
      <c r="BM89" s="59"/>
      <c r="BN89" s="59"/>
      <c r="BO89" s="59"/>
      <c r="BP89" s="60"/>
      <c r="BQ89" s="59"/>
      <c r="BR89" s="59"/>
      <c r="BS89" s="59"/>
      <c r="BT89" s="59"/>
      <c r="BU89" s="59"/>
      <c r="BV89" s="59"/>
      <c r="BW89" s="59"/>
      <c r="BX89" s="60"/>
      <c r="BY89" s="61"/>
      <c r="BZ89" s="61"/>
      <c r="CA89" s="61"/>
      <c r="CB89" s="61"/>
      <c r="CC89" s="61"/>
      <c r="CD89" s="61"/>
      <c r="CE89" s="61"/>
      <c r="CF89" s="61"/>
      <c r="CG89" s="55"/>
      <c r="CH89" s="55"/>
      <c r="CI89" s="28"/>
      <c r="CJ89" s="49"/>
      <c r="CK89" s="50" t="str">
        <f t="shared" si="1"/>
        <v>3</v>
      </c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</row>
    <row r="90" ht="15.75" customHeight="1">
      <c r="A90" s="62" t="s">
        <v>261</v>
      </c>
      <c r="B90" s="63" t="s">
        <v>262</v>
      </c>
      <c r="C90" s="53"/>
      <c r="D90" s="54"/>
      <c r="E90" s="53"/>
      <c r="F90" s="54"/>
      <c r="G90" s="53"/>
      <c r="H90" s="53"/>
      <c r="I90" s="54"/>
      <c r="J90" s="53"/>
      <c r="K90" s="53"/>
      <c r="L90" s="54"/>
      <c r="M90" s="54"/>
      <c r="N90" s="54"/>
      <c r="O90" s="53"/>
      <c r="P90" s="53"/>
      <c r="Q90" s="53"/>
      <c r="R90" s="53"/>
      <c r="S90" s="54"/>
      <c r="T90" s="53"/>
      <c r="U90" s="54"/>
      <c r="V90" s="54"/>
      <c r="W90" s="42"/>
      <c r="X90" s="42"/>
      <c r="Y90" s="42"/>
      <c r="Z90" s="55"/>
      <c r="AA90" s="42"/>
      <c r="AB90" s="42"/>
      <c r="AC90" s="42"/>
      <c r="AD90" s="42"/>
      <c r="AE90" s="42"/>
      <c r="AF90" s="55"/>
      <c r="AG90" s="55"/>
      <c r="AH90" s="42"/>
      <c r="AI90" s="20"/>
      <c r="AJ90" s="56"/>
      <c r="AK90" s="42"/>
      <c r="AL90" s="42"/>
      <c r="AM90" s="55"/>
      <c r="AN90" s="42"/>
      <c r="AO90" s="42"/>
      <c r="AP90" s="42"/>
      <c r="AQ90" s="42"/>
      <c r="AR90" s="42"/>
      <c r="AS90" s="42"/>
      <c r="AT90" s="55"/>
      <c r="AU90" s="57"/>
      <c r="AV90" s="57"/>
      <c r="AW90" s="57"/>
      <c r="AX90" s="57"/>
      <c r="AY90" s="57"/>
      <c r="AZ90" s="57"/>
      <c r="BA90" s="57"/>
      <c r="BB90" s="58"/>
      <c r="BC90" s="57"/>
      <c r="BD90" s="58"/>
      <c r="BE90" s="57"/>
      <c r="BF90" s="57" t="str">
        <f>BF3*2</f>
        <v>0</v>
      </c>
      <c r="BG90" s="57"/>
      <c r="BH90" s="57"/>
      <c r="BI90" s="54"/>
      <c r="BJ90" s="53"/>
      <c r="BK90" s="53"/>
      <c r="BL90" s="59"/>
      <c r="BM90" s="59"/>
      <c r="BN90" s="59"/>
      <c r="BO90" s="59"/>
      <c r="BP90" s="60"/>
      <c r="BQ90" s="59"/>
      <c r="BR90" s="59"/>
      <c r="BS90" s="59"/>
      <c r="BT90" s="59"/>
      <c r="BU90" s="59"/>
      <c r="BV90" s="59"/>
      <c r="BW90" s="59"/>
      <c r="BX90" s="60"/>
      <c r="BY90" s="61"/>
      <c r="BZ90" s="61"/>
      <c r="CA90" s="61"/>
      <c r="CB90" s="61"/>
      <c r="CC90" s="61"/>
      <c r="CD90" s="61"/>
      <c r="CE90" s="61"/>
      <c r="CF90" s="61"/>
      <c r="CG90" s="55"/>
      <c r="CH90" s="55"/>
      <c r="CI90" s="28"/>
      <c r="CJ90" s="49"/>
      <c r="CK90" s="50" t="str">
        <f t="shared" si="1"/>
        <v>0</v>
      </c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</row>
    <row r="91" ht="15.75" customHeight="1">
      <c r="A91" s="51" t="s">
        <v>263</v>
      </c>
      <c r="B91" s="52" t="s">
        <v>264</v>
      </c>
      <c r="C91" s="53"/>
      <c r="D91" s="54"/>
      <c r="E91" s="53"/>
      <c r="F91" s="54"/>
      <c r="G91" s="53"/>
      <c r="H91" s="53"/>
      <c r="I91" s="54"/>
      <c r="J91" s="53"/>
      <c r="K91" s="53"/>
      <c r="L91" s="54"/>
      <c r="M91" s="54"/>
      <c r="N91" s="54"/>
      <c r="O91" s="53"/>
      <c r="P91" s="53"/>
      <c r="Q91" s="53"/>
      <c r="R91" s="53"/>
      <c r="S91" s="54"/>
      <c r="T91" s="53"/>
      <c r="U91" s="54"/>
      <c r="V91" s="54"/>
      <c r="W91" s="42"/>
      <c r="X91" s="42"/>
      <c r="Y91" s="42"/>
      <c r="Z91" s="55"/>
      <c r="AA91" s="42"/>
      <c r="AB91" s="42"/>
      <c r="AC91" s="42"/>
      <c r="AD91" s="42"/>
      <c r="AE91" s="42"/>
      <c r="AF91" s="55"/>
      <c r="AG91" s="55" t="str">
        <f>AG3*4</f>
        <v>4</v>
      </c>
      <c r="AH91" s="42"/>
      <c r="AI91" s="20"/>
      <c r="AJ91" s="56"/>
      <c r="AK91" s="42"/>
      <c r="AL91" s="42"/>
      <c r="AM91" s="55"/>
      <c r="AN91" s="42"/>
      <c r="AO91" s="42"/>
      <c r="AP91" s="42"/>
      <c r="AQ91" s="42"/>
      <c r="AR91" s="42"/>
      <c r="AS91" s="42"/>
      <c r="AT91" s="55"/>
      <c r="AU91" s="57"/>
      <c r="AV91" s="57"/>
      <c r="AW91" s="57"/>
      <c r="AX91" s="57"/>
      <c r="AY91" s="57"/>
      <c r="AZ91" s="57"/>
      <c r="BA91" s="57"/>
      <c r="BB91" s="58"/>
      <c r="BC91" s="57"/>
      <c r="BD91" s="58"/>
      <c r="BE91" s="57"/>
      <c r="BF91" s="57"/>
      <c r="BG91" s="57"/>
      <c r="BH91" s="57"/>
      <c r="BI91" s="54"/>
      <c r="BJ91" s="53"/>
      <c r="BK91" s="53"/>
      <c r="BL91" s="59"/>
      <c r="BM91" s="59"/>
      <c r="BN91" s="59"/>
      <c r="BO91" s="59"/>
      <c r="BP91" s="60"/>
      <c r="BQ91" s="59"/>
      <c r="BR91" s="59"/>
      <c r="BS91" s="59"/>
      <c r="BT91" s="59"/>
      <c r="BU91" s="59"/>
      <c r="BV91" s="59"/>
      <c r="BW91" s="59"/>
      <c r="BX91" s="60"/>
      <c r="BY91" s="61"/>
      <c r="BZ91" s="61"/>
      <c r="CA91" s="61"/>
      <c r="CB91" s="61"/>
      <c r="CC91" s="61"/>
      <c r="CD91" s="61"/>
      <c r="CE91" s="61"/>
      <c r="CF91" s="61"/>
      <c r="CG91" s="55"/>
      <c r="CH91" s="55"/>
      <c r="CI91" s="28"/>
      <c r="CJ91" s="49"/>
      <c r="CK91" s="50" t="str">
        <f t="shared" si="1"/>
        <v>4</v>
      </c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</row>
    <row r="92" ht="15.75" customHeight="1">
      <c r="A92" s="62" t="s">
        <v>265</v>
      </c>
      <c r="B92" s="63" t="s">
        <v>266</v>
      </c>
      <c r="C92" s="53"/>
      <c r="D92" s="54"/>
      <c r="E92" s="53"/>
      <c r="F92" s="54"/>
      <c r="G92" s="53"/>
      <c r="H92" s="53"/>
      <c r="I92" s="54"/>
      <c r="J92" s="53"/>
      <c r="K92" s="53"/>
      <c r="L92" s="54"/>
      <c r="M92" s="54"/>
      <c r="N92" s="54"/>
      <c r="O92" s="53"/>
      <c r="P92" s="53"/>
      <c r="Q92" s="53"/>
      <c r="R92" s="53"/>
      <c r="S92" s="54"/>
      <c r="T92" s="53"/>
      <c r="U92" s="54"/>
      <c r="V92" s="54"/>
      <c r="W92" s="42"/>
      <c r="X92" s="42"/>
      <c r="Y92" s="42"/>
      <c r="Z92" s="55"/>
      <c r="AA92" s="42"/>
      <c r="AB92" s="42"/>
      <c r="AC92" s="42"/>
      <c r="AD92" s="42"/>
      <c r="AE92" s="42"/>
      <c r="AF92" s="55"/>
      <c r="AG92" s="55"/>
      <c r="AH92" s="42"/>
      <c r="AI92" s="20"/>
      <c r="AJ92" s="56"/>
      <c r="AK92" s="42"/>
      <c r="AL92" s="42"/>
      <c r="AM92" s="55"/>
      <c r="AN92" s="42"/>
      <c r="AO92" s="42"/>
      <c r="AP92" s="42"/>
      <c r="AQ92" s="42"/>
      <c r="AR92" s="42"/>
      <c r="AS92" s="42"/>
      <c r="AT92" s="55"/>
      <c r="AU92" s="57"/>
      <c r="AV92" s="57"/>
      <c r="AW92" s="57"/>
      <c r="AX92" s="57"/>
      <c r="AY92" s="57"/>
      <c r="AZ92" s="57"/>
      <c r="BA92" s="57" t="str">
        <f>BA3*6</f>
        <v>0</v>
      </c>
      <c r="BB92" s="58"/>
      <c r="BC92" s="57"/>
      <c r="BD92" s="58"/>
      <c r="BE92" s="57"/>
      <c r="BF92" s="57"/>
      <c r="BG92" s="57"/>
      <c r="BH92" s="57"/>
      <c r="BI92" s="54"/>
      <c r="BJ92" s="53"/>
      <c r="BK92" s="53"/>
      <c r="BL92" s="59"/>
      <c r="BM92" s="59"/>
      <c r="BN92" s="59"/>
      <c r="BO92" s="59"/>
      <c r="BP92" s="60"/>
      <c r="BQ92" s="59"/>
      <c r="BR92" s="59"/>
      <c r="BS92" s="59"/>
      <c r="BT92" s="59"/>
      <c r="BU92" s="59"/>
      <c r="BV92" s="59"/>
      <c r="BW92" s="59"/>
      <c r="BX92" s="60"/>
      <c r="BY92" s="61"/>
      <c r="BZ92" s="61"/>
      <c r="CA92" s="61"/>
      <c r="CB92" s="61"/>
      <c r="CC92" s="61"/>
      <c r="CD92" s="61"/>
      <c r="CE92" s="61"/>
      <c r="CF92" s="61"/>
      <c r="CG92" s="55"/>
      <c r="CH92" s="55"/>
      <c r="CI92" s="28"/>
      <c r="CJ92" s="49"/>
      <c r="CK92" s="50" t="str">
        <f t="shared" si="1"/>
        <v>0</v>
      </c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</row>
    <row r="93" ht="15.75" customHeight="1">
      <c r="A93" s="51" t="s">
        <v>267</v>
      </c>
      <c r="B93" s="52" t="s">
        <v>268</v>
      </c>
      <c r="C93" s="53"/>
      <c r="D93" s="54"/>
      <c r="E93" s="53"/>
      <c r="F93" s="54"/>
      <c r="G93" s="53"/>
      <c r="H93" s="53"/>
      <c r="I93" s="54"/>
      <c r="J93" s="53"/>
      <c r="K93" s="53"/>
      <c r="L93" s="54"/>
      <c r="M93" s="54"/>
      <c r="N93" s="54"/>
      <c r="O93" s="53"/>
      <c r="P93" s="53"/>
      <c r="Q93" s="53"/>
      <c r="R93" s="53"/>
      <c r="S93" s="54"/>
      <c r="T93" s="53"/>
      <c r="U93" s="54"/>
      <c r="V93" s="54"/>
      <c r="W93" s="42"/>
      <c r="X93" s="42"/>
      <c r="Y93" s="42"/>
      <c r="Z93" s="55"/>
      <c r="AA93" s="42"/>
      <c r="AB93" s="42"/>
      <c r="AC93" s="42"/>
      <c r="AD93" s="42"/>
      <c r="AE93" s="42"/>
      <c r="AF93" s="55"/>
      <c r="AG93" s="55"/>
      <c r="AH93" s="42"/>
      <c r="AI93" s="20"/>
      <c r="AJ93" s="56"/>
      <c r="AK93" s="42"/>
      <c r="AL93" s="42"/>
      <c r="AM93" s="55"/>
      <c r="AN93" s="42"/>
      <c r="AO93" s="42"/>
      <c r="AP93" s="42"/>
      <c r="AQ93" s="42"/>
      <c r="AR93" s="42"/>
      <c r="AS93" s="42"/>
      <c r="AT93" s="55"/>
      <c r="AU93" s="57"/>
      <c r="AV93" s="57"/>
      <c r="AW93" s="57"/>
      <c r="AX93" s="57"/>
      <c r="AY93" s="57"/>
      <c r="AZ93" s="57"/>
      <c r="BA93" s="57"/>
      <c r="BB93" s="58"/>
      <c r="BC93" s="57"/>
      <c r="BD93" s="58"/>
      <c r="BE93" s="57"/>
      <c r="BF93" s="57"/>
      <c r="BG93" s="57"/>
      <c r="BH93" s="57"/>
      <c r="BI93" s="54"/>
      <c r="BJ93" s="53"/>
      <c r="BK93" s="53"/>
      <c r="BL93" s="59"/>
      <c r="BM93" s="59"/>
      <c r="BN93" s="59"/>
      <c r="BO93" s="59"/>
      <c r="BP93" s="60"/>
      <c r="BQ93" s="59"/>
      <c r="BR93" s="59"/>
      <c r="BS93" s="59"/>
      <c r="BT93" s="59"/>
      <c r="BU93" s="59"/>
      <c r="BV93" s="59"/>
      <c r="BW93" s="59"/>
      <c r="BX93" s="60"/>
      <c r="BY93" s="61"/>
      <c r="BZ93" s="61"/>
      <c r="CA93" s="61"/>
      <c r="CB93" s="61"/>
      <c r="CC93" s="61"/>
      <c r="CD93" s="61"/>
      <c r="CE93" s="61"/>
      <c r="CF93" s="61"/>
      <c r="CG93" s="55"/>
      <c r="CH93" s="55"/>
      <c r="CI93" s="28"/>
      <c r="CJ93" s="49"/>
      <c r="CK93" s="50" t="str">
        <f t="shared" si="1"/>
        <v>0</v>
      </c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</row>
    <row r="94" ht="15.75" customHeight="1">
      <c r="A94" s="62" t="s">
        <v>269</v>
      </c>
      <c r="B94" s="63" t="s">
        <v>270</v>
      </c>
      <c r="C94" s="53"/>
      <c r="D94" s="54"/>
      <c r="E94" s="53"/>
      <c r="F94" s="54"/>
      <c r="G94" s="53"/>
      <c r="H94" s="53"/>
      <c r="I94" s="54"/>
      <c r="J94" s="53"/>
      <c r="K94" s="53"/>
      <c r="L94" s="54"/>
      <c r="M94" s="54"/>
      <c r="N94" s="54"/>
      <c r="O94" s="53"/>
      <c r="P94" s="53"/>
      <c r="Q94" s="53"/>
      <c r="R94" s="53"/>
      <c r="S94" s="54"/>
      <c r="T94" s="53"/>
      <c r="U94" s="54"/>
      <c r="V94" s="54"/>
      <c r="W94" s="42"/>
      <c r="X94" s="42"/>
      <c r="Y94" s="42"/>
      <c r="Z94" s="55"/>
      <c r="AA94" s="42"/>
      <c r="AB94" s="42"/>
      <c r="AC94" s="42"/>
      <c r="AD94" s="42"/>
      <c r="AE94" s="42"/>
      <c r="AF94" s="55"/>
      <c r="AG94" s="55"/>
      <c r="AH94" s="42"/>
      <c r="AI94" s="20"/>
      <c r="AJ94" s="56"/>
      <c r="AK94" s="42"/>
      <c r="AL94" s="42"/>
      <c r="AM94" s="55"/>
      <c r="AN94" s="42"/>
      <c r="AO94" s="42"/>
      <c r="AP94" s="42"/>
      <c r="AQ94" s="42"/>
      <c r="AR94" s="42"/>
      <c r="AS94" s="42"/>
      <c r="AT94" s="55"/>
      <c r="AU94" s="57"/>
      <c r="AV94" s="57"/>
      <c r="AW94" s="57"/>
      <c r="AX94" s="57"/>
      <c r="AY94" s="57"/>
      <c r="AZ94" s="57"/>
      <c r="BA94" s="57"/>
      <c r="BB94" s="58"/>
      <c r="BC94" s="57"/>
      <c r="BD94" s="58"/>
      <c r="BE94" s="57"/>
      <c r="BF94" s="57"/>
      <c r="BG94" s="57"/>
      <c r="BH94" s="57"/>
      <c r="BI94" s="54"/>
      <c r="BJ94" s="53"/>
      <c r="BK94" s="53"/>
      <c r="BL94" s="59"/>
      <c r="BM94" s="59"/>
      <c r="BN94" s="59"/>
      <c r="BO94" s="59"/>
      <c r="BP94" s="60"/>
      <c r="BQ94" s="59"/>
      <c r="BR94" s="59"/>
      <c r="BS94" s="59"/>
      <c r="BT94" s="59"/>
      <c r="BU94" s="59"/>
      <c r="BV94" s="59"/>
      <c r="BW94" s="59"/>
      <c r="BX94" s="60"/>
      <c r="BY94" s="61"/>
      <c r="BZ94" s="61"/>
      <c r="CA94" s="61"/>
      <c r="CB94" s="61"/>
      <c r="CC94" s="61"/>
      <c r="CD94" s="61"/>
      <c r="CE94" s="61"/>
      <c r="CF94" s="61"/>
      <c r="CG94" s="55"/>
      <c r="CH94" s="55"/>
      <c r="CI94" s="28"/>
      <c r="CJ94" s="49"/>
      <c r="CK94" s="50" t="str">
        <f t="shared" si="1"/>
        <v>0</v>
      </c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</row>
    <row r="95" ht="15.75" customHeight="1">
      <c r="A95" s="51" t="s">
        <v>271</v>
      </c>
      <c r="B95" s="52" t="s">
        <v>272</v>
      </c>
      <c r="C95" s="53"/>
      <c r="D95" s="54"/>
      <c r="E95" s="53" t="str">
        <f>E3*2</f>
        <v>10</v>
      </c>
      <c r="F95" s="54"/>
      <c r="G95" s="53"/>
      <c r="H95" s="53"/>
      <c r="I95" s="54"/>
      <c r="J95" s="53"/>
      <c r="K95" s="53"/>
      <c r="L95" s="54"/>
      <c r="M95" s="54"/>
      <c r="N95" s="54"/>
      <c r="O95" s="53"/>
      <c r="P95" s="53"/>
      <c r="Q95" s="53" t="str">
        <f>Q3*2</f>
        <v>0</v>
      </c>
      <c r="R95" s="53"/>
      <c r="S95" s="54"/>
      <c r="T95" s="53"/>
      <c r="U95" s="54" t="str">
        <f>2*U3</f>
        <v>0</v>
      </c>
      <c r="V95" s="54" t="str">
        <f>V3*2</f>
        <v>2</v>
      </c>
      <c r="W95" s="42"/>
      <c r="X95" s="42"/>
      <c r="Y95" s="42"/>
      <c r="Z95" s="55" t="str">
        <f>Z3*2</f>
        <v>0</v>
      </c>
      <c r="AA95" s="42"/>
      <c r="AB95" s="42"/>
      <c r="AC95" s="42"/>
      <c r="AD95" s="42"/>
      <c r="AE95" s="42"/>
      <c r="AF95" s="55"/>
      <c r="AG95" s="55" t="str">
        <f>AG3*1.6</f>
        <v>1.6</v>
      </c>
      <c r="AH95" s="42"/>
      <c r="AI95" s="20"/>
      <c r="AJ95" s="56"/>
      <c r="AK95" s="42"/>
      <c r="AL95" s="42"/>
      <c r="AM95" s="55"/>
      <c r="AN95" s="42"/>
      <c r="AO95" s="42"/>
      <c r="AP95" s="42"/>
      <c r="AQ95" s="42"/>
      <c r="AR95" s="42" t="str">
        <f>AR3*1.6</f>
        <v>0</v>
      </c>
      <c r="AS95" s="42"/>
      <c r="AT95" s="55"/>
      <c r="AU95" s="57"/>
      <c r="AV95" s="57"/>
      <c r="AW95" s="57"/>
      <c r="AX95" s="57"/>
      <c r="AY95" s="57"/>
      <c r="AZ95" s="57" t="str">
        <f>AZ3*1</f>
        <v>1</v>
      </c>
      <c r="BA95" s="57"/>
      <c r="BB95" s="58"/>
      <c r="BC95" s="57"/>
      <c r="BD95" s="58"/>
      <c r="BE95" s="57"/>
      <c r="BF95" s="57"/>
      <c r="BG95" s="57"/>
      <c r="BH95" s="57"/>
      <c r="BI95" s="54"/>
      <c r="BJ95" s="53"/>
      <c r="BK95" s="53"/>
      <c r="BL95" s="59"/>
      <c r="BM95" s="59"/>
      <c r="BN95" s="59"/>
      <c r="BO95" s="59"/>
      <c r="BP95" s="60"/>
      <c r="BQ95" s="59"/>
      <c r="BR95" s="59" t="str">
        <f>BR3*2.4</f>
        <v>1.2</v>
      </c>
      <c r="BS95" s="59" t="str">
        <f>BS3*1</f>
        <v>0.5</v>
      </c>
      <c r="BT95" s="59" t="str">
        <f>BT3*4</f>
        <v>0</v>
      </c>
      <c r="BU95" s="59"/>
      <c r="BV95" s="59" t="str">
        <f>BV3*2</f>
        <v>2</v>
      </c>
      <c r="BW95" s="59"/>
      <c r="BX95" s="60"/>
      <c r="BY95" s="61" t="str">
        <f>BY3*1.6</f>
        <v>0.8</v>
      </c>
      <c r="BZ95" s="61" t="str">
        <f>BZ3*1</f>
        <v>0</v>
      </c>
      <c r="CA95" s="61"/>
      <c r="CB95" s="61"/>
      <c r="CC95" s="61" t="str">
        <f t="shared" ref="CC95:CD95" si="19">CC3*1</f>
        <v>0</v>
      </c>
      <c r="CD95" s="61" t="str">
        <f t="shared" si="19"/>
        <v>0</v>
      </c>
      <c r="CE95" s="61"/>
      <c r="CF95" s="61"/>
      <c r="CG95" s="55" t="str">
        <f>CG3*2</f>
        <v>2</v>
      </c>
      <c r="CH95" s="55"/>
      <c r="CI95" s="28"/>
      <c r="CJ95" s="49"/>
      <c r="CK95" s="50" t="str">
        <f t="shared" si="1"/>
        <v>21.1</v>
      </c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</row>
    <row r="96" ht="15.75" customHeight="1">
      <c r="A96" s="62" t="s">
        <v>273</v>
      </c>
      <c r="B96" s="63" t="s">
        <v>274</v>
      </c>
      <c r="C96" s="53"/>
      <c r="D96" s="54"/>
      <c r="E96" s="53"/>
      <c r="F96" s="54"/>
      <c r="G96" s="53"/>
      <c r="H96" s="53"/>
      <c r="I96" s="54"/>
      <c r="J96" s="53"/>
      <c r="K96" s="53"/>
      <c r="L96" s="54"/>
      <c r="M96" s="54"/>
      <c r="N96" s="54"/>
      <c r="O96" s="53"/>
      <c r="P96" s="53"/>
      <c r="Q96" s="53"/>
      <c r="R96" s="53"/>
      <c r="S96" s="54"/>
      <c r="T96" s="53"/>
      <c r="U96" s="54"/>
      <c r="V96" s="54"/>
      <c r="W96" s="42"/>
      <c r="X96" s="42"/>
      <c r="Y96" s="42"/>
      <c r="Z96" s="55"/>
      <c r="AA96" s="42"/>
      <c r="AB96" s="42"/>
      <c r="AC96" s="42"/>
      <c r="AD96" s="42"/>
      <c r="AE96" s="42"/>
      <c r="AF96" s="55"/>
      <c r="AG96" s="55"/>
      <c r="AH96" s="42"/>
      <c r="AI96" s="20"/>
      <c r="AJ96" s="56"/>
      <c r="AK96" s="42"/>
      <c r="AL96" s="42"/>
      <c r="AM96" s="55"/>
      <c r="AN96" s="42"/>
      <c r="AO96" s="42"/>
      <c r="AP96" s="42"/>
      <c r="AQ96" s="42"/>
      <c r="AR96" s="42"/>
      <c r="AS96" s="42"/>
      <c r="AT96" s="55"/>
      <c r="AU96" s="57"/>
      <c r="AV96" s="57"/>
      <c r="AW96" s="57"/>
      <c r="AX96" s="57"/>
      <c r="AY96" s="57"/>
      <c r="AZ96" s="57"/>
      <c r="BA96" s="57"/>
      <c r="BB96" s="58"/>
      <c r="BC96" s="57"/>
      <c r="BD96" s="58"/>
      <c r="BE96" s="57"/>
      <c r="BF96" s="57"/>
      <c r="BG96" s="57"/>
      <c r="BH96" s="57"/>
      <c r="BI96" s="54"/>
      <c r="BJ96" s="53"/>
      <c r="BK96" s="53"/>
      <c r="BL96" s="59"/>
      <c r="BM96" s="59"/>
      <c r="BN96" s="59"/>
      <c r="BO96" s="59"/>
      <c r="BP96" s="60"/>
      <c r="BQ96" s="59"/>
      <c r="BR96" s="59"/>
      <c r="BS96" s="59"/>
      <c r="BT96" s="59"/>
      <c r="BU96" s="59"/>
      <c r="BV96" s="59"/>
      <c r="BW96" s="59"/>
      <c r="BX96" s="60"/>
      <c r="BY96" s="61"/>
      <c r="BZ96" s="61"/>
      <c r="CA96" s="61"/>
      <c r="CB96" s="61"/>
      <c r="CC96" s="61"/>
      <c r="CD96" s="61"/>
      <c r="CE96" s="61"/>
      <c r="CF96" s="61"/>
      <c r="CG96" s="55"/>
      <c r="CH96" s="55"/>
      <c r="CI96" s="28"/>
      <c r="CJ96" s="49"/>
      <c r="CK96" s="50" t="str">
        <f t="shared" si="1"/>
        <v>0</v>
      </c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</row>
    <row r="97" ht="15.75" customHeight="1">
      <c r="A97" s="51" t="s">
        <v>275</v>
      </c>
      <c r="B97" s="52" t="s">
        <v>276</v>
      </c>
      <c r="C97" s="53"/>
      <c r="D97" s="54"/>
      <c r="E97" s="53"/>
      <c r="F97" s="54"/>
      <c r="G97" s="53"/>
      <c r="H97" s="53"/>
      <c r="I97" s="54"/>
      <c r="J97" s="53"/>
      <c r="K97" s="53"/>
      <c r="L97" s="54"/>
      <c r="M97" s="54"/>
      <c r="N97" s="54"/>
      <c r="O97" s="53"/>
      <c r="P97" s="53"/>
      <c r="Q97" s="53"/>
      <c r="R97" s="53"/>
      <c r="S97" s="54"/>
      <c r="T97" s="53"/>
      <c r="U97" s="54"/>
      <c r="V97" s="54"/>
      <c r="W97" s="42"/>
      <c r="X97" s="42"/>
      <c r="Y97" s="42"/>
      <c r="Z97" s="55"/>
      <c r="AA97" s="42"/>
      <c r="AB97" s="42"/>
      <c r="AC97" s="42"/>
      <c r="AD97" s="42"/>
      <c r="AE97" s="42"/>
      <c r="AF97" s="55"/>
      <c r="AG97" s="55"/>
      <c r="AH97" s="42"/>
      <c r="AI97" s="20"/>
      <c r="AJ97" s="56"/>
      <c r="AK97" s="42"/>
      <c r="AL97" s="42"/>
      <c r="AM97" s="55"/>
      <c r="AN97" s="42"/>
      <c r="AO97" s="42"/>
      <c r="AP97" s="42"/>
      <c r="AQ97" s="42"/>
      <c r="AR97" s="42"/>
      <c r="AS97" s="42"/>
      <c r="AT97" s="55"/>
      <c r="AU97" s="57"/>
      <c r="AV97" s="57"/>
      <c r="AW97" s="57"/>
      <c r="AX97" s="57"/>
      <c r="AY97" s="57"/>
      <c r="AZ97" s="57"/>
      <c r="BA97" s="57"/>
      <c r="BB97" s="58"/>
      <c r="BC97" s="57"/>
      <c r="BD97" s="58"/>
      <c r="BE97" s="57"/>
      <c r="BF97" s="57"/>
      <c r="BG97" s="57"/>
      <c r="BH97" s="57"/>
      <c r="BI97" s="54"/>
      <c r="BJ97" s="53"/>
      <c r="BK97" s="53"/>
      <c r="BL97" s="59"/>
      <c r="BM97" s="59"/>
      <c r="BN97" s="59"/>
      <c r="BO97" s="59"/>
      <c r="BP97" s="60"/>
      <c r="BQ97" s="59"/>
      <c r="BR97" s="59"/>
      <c r="BS97" s="59"/>
      <c r="BT97" s="59"/>
      <c r="BU97" s="59"/>
      <c r="BV97" s="59"/>
      <c r="BW97" s="59"/>
      <c r="BX97" s="60"/>
      <c r="BY97" s="61"/>
      <c r="BZ97" s="61"/>
      <c r="CA97" s="61"/>
      <c r="CB97" s="61"/>
      <c r="CC97" s="61"/>
      <c r="CD97" s="61"/>
      <c r="CE97" s="61"/>
      <c r="CF97" s="61"/>
      <c r="CG97" s="55"/>
      <c r="CH97" s="55"/>
      <c r="CI97" s="28"/>
      <c r="CJ97" s="49"/>
      <c r="CK97" s="50" t="str">
        <f t="shared" si="1"/>
        <v>0</v>
      </c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</row>
    <row r="98" ht="15.75" customHeight="1">
      <c r="A98" s="62" t="s">
        <v>277</v>
      </c>
      <c r="B98" s="63" t="s">
        <v>278</v>
      </c>
      <c r="C98" s="53"/>
      <c r="D98" s="54"/>
      <c r="E98" s="53"/>
      <c r="F98" s="54"/>
      <c r="G98" s="53"/>
      <c r="H98" s="53"/>
      <c r="I98" s="54"/>
      <c r="J98" s="53"/>
      <c r="K98" s="53"/>
      <c r="L98" s="54"/>
      <c r="M98" s="54"/>
      <c r="N98" s="54"/>
      <c r="O98" s="53"/>
      <c r="P98" s="53"/>
      <c r="Q98" s="53"/>
      <c r="R98" s="53"/>
      <c r="S98" s="54"/>
      <c r="T98" s="53"/>
      <c r="U98" s="54"/>
      <c r="V98" s="54"/>
      <c r="W98" s="42"/>
      <c r="X98" s="42"/>
      <c r="Y98" s="42"/>
      <c r="Z98" s="55"/>
      <c r="AA98" s="42"/>
      <c r="AB98" s="42"/>
      <c r="AC98" s="42"/>
      <c r="AD98" s="42"/>
      <c r="AE98" s="42"/>
      <c r="AF98" s="55"/>
      <c r="AG98" s="55"/>
      <c r="AH98" s="42"/>
      <c r="AI98" s="20"/>
      <c r="AJ98" s="56"/>
      <c r="AK98" s="42"/>
      <c r="AL98" s="42"/>
      <c r="AM98" s="55"/>
      <c r="AN98" s="42"/>
      <c r="AO98" s="42"/>
      <c r="AP98" s="42"/>
      <c r="AQ98" s="42"/>
      <c r="AR98" s="42"/>
      <c r="AS98" s="42"/>
      <c r="AT98" s="55"/>
      <c r="AU98" s="57"/>
      <c r="AV98" s="57"/>
      <c r="AW98" s="57"/>
      <c r="AX98" s="57"/>
      <c r="AY98" s="57"/>
      <c r="AZ98" s="57"/>
      <c r="BA98" s="57"/>
      <c r="BB98" s="58"/>
      <c r="BC98" s="57"/>
      <c r="BD98" s="58"/>
      <c r="BE98" s="57"/>
      <c r="BF98" s="57"/>
      <c r="BG98" s="57"/>
      <c r="BH98" s="57"/>
      <c r="BI98" s="54"/>
      <c r="BJ98" s="53"/>
      <c r="BK98" s="53"/>
      <c r="BL98" s="59"/>
      <c r="BM98" s="59"/>
      <c r="BN98" s="59"/>
      <c r="BO98" s="59"/>
      <c r="BP98" s="60"/>
      <c r="BQ98" s="59"/>
      <c r="BR98" s="59"/>
      <c r="BS98" s="59"/>
      <c r="BT98" s="59"/>
      <c r="BU98" s="59"/>
      <c r="BV98" s="59"/>
      <c r="BW98" s="59"/>
      <c r="BX98" s="60"/>
      <c r="BY98" s="61"/>
      <c r="BZ98" s="61"/>
      <c r="CA98" s="61"/>
      <c r="CB98" s="61"/>
      <c r="CC98" s="61"/>
      <c r="CD98" s="61"/>
      <c r="CE98" s="61"/>
      <c r="CF98" s="61"/>
      <c r="CG98" s="55"/>
      <c r="CH98" s="55"/>
      <c r="CI98" s="28"/>
      <c r="CJ98" s="49"/>
      <c r="CK98" s="50" t="str">
        <f t="shared" si="1"/>
        <v>0</v>
      </c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</row>
    <row r="99" ht="15.75" customHeight="1">
      <c r="A99" s="51" t="s">
        <v>279</v>
      </c>
      <c r="B99" s="52" t="s">
        <v>280</v>
      </c>
      <c r="C99" s="53"/>
      <c r="D99" s="54"/>
      <c r="E99" s="53"/>
      <c r="F99" s="54"/>
      <c r="G99" s="53"/>
      <c r="H99" s="53"/>
      <c r="I99" s="54"/>
      <c r="J99" s="53"/>
      <c r="K99" s="53"/>
      <c r="L99" s="54"/>
      <c r="M99" s="54"/>
      <c r="N99" s="54"/>
      <c r="O99" s="53"/>
      <c r="P99" s="53"/>
      <c r="Q99" s="53"/>
      <c r="R99" s="53"/>
      <c r="S99" s="54"/>
      <c r="T99" s="53"/>
      <c r="U99" s="54"/>
      <c r="V99" s="54"/>
      <c r="W99" s="42"/>
      <c r="X99" s="42"/>
      <c r="Y99" s="42"/>
      <c r="Z99" s="55"/>
      <c r="AA99" s="42"/>
      <c r="AB99" s="42"/>
      <c r="AC99" s="42"/>
      <c r="AD99" s="42"/>
      <c r="AE99" s="42"/>
      <c r="AF99" s="55"/>
      <c r="AG99" s="55"/>
      <c r="AH99" s="42"/>
      <c r="AI99" s="20"/>
      <c r="AJ99" s="56"/>
      <c r="AK99" s="42"/>
      <c r="AL99" s="42"/>
      <c r="AM99" s="55"/>
      <c r="AN99" s="42"/>
      <c r="AO99" s="42"/>
      <c r="AP99" s="42"/>
      <c r="AQ99" s="42"/>
      <c r="AR99" s="42"/>
      <c r="AS99" s="42"/>
      <c r="AT99" s="55"/>
      <c r="AU99" s="57"/>
      <c r="AV99" s="57"/>
      <c r="AW99" s="57"/>
      <c r="AX99" s="57"/>
      <c r="AY99" s="57"/>
      <c r="AZ99" s="57"/>
      <c r="BA99" s="57"/>
      <c r="BB99" s="58"/>
      <c r="BC99" s="57"/>
      <c r="BD99" s="58"/>
      <c r="BE99" s="57"/>
      <c r="BF99" s="57"/>
      <c r="BG99" s="57"/>
      <c r="BH99" s="57"/>
      <c r="BI99" s="54"/>
      <c r="BJ99" s="53"/>
      <c r="BK99" s="53"/>
      <c r="BL99" s="59"/>
      <c r="BM99" s="59"/>
      <c r="BN99" s="59"/>
      <c r="BO99" s="59"/>
      <c r="BP99" s="60"/>
      <c r="BQ99" s="59"/>
      <c r="BR99" s="59"/>
      <c r="BS99" s="59"/>
      <c r="BT99" s="59"/>
      <c r="BU99" s="59"/>
      <c r="BV99" s="59"/>
      <c r="BW99" s="59"/>
      <c r="BX99" s="60"/>
      <c r="BY99" s="61"/>
      <c r="BZ99" s="61"/>
      <c r="CA99" s="61"/>
      <c r="CB99" s="61"/>
      <c r="CC99" s="61"/>
      <c r="CD99" s="61"/>
      <c r="CE99" s="61"/>
      <c r="CF99" s="61"/>
      <c r="CG99" s="55"/>
      <c r="CH99" s="55"/>
      <c r="CI99" s="28"/>
      <c r="CJ99" s="49"/>
      <c r="CK99" s="50" t="str">
        <f t="shared" si="1"/>
        <v>0</v>
      </c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</row>
    <row r="100" ht="15.75" customHeight="1">
      <c r="A100" s="62" t="s">
        <v>281</v>
      </c>
      <c r="B100" s="63" t="s">
        <v>282</v>
      </c>
      <c r="C100" s="53"/>
      <c r="D100" s="54"/>
      <c r="E100" s="53"/>
      <c r="F100" s="54"/>
      <c r="G100" s="53"/>
      <c r="H100" s="53"/>
      <c r="I100" s="54"/>
      <c r="J100" s="53"/>
      <c r="K100" s="53"/>
      <c r="L100" s="54"/>
      <c r="M100" s="54"/>
      <c r="N100" s="54"/>
      <c r="O100" s="53"/>
      <c r="P100" s="53"/>
      <c r="Q100" s="53"/>
      <c r="R100" s="53"/>
      <c r="S100" s="54"/>
      <c r="T100" s="53"/>
      <c r="U100" s="54"/>
      <c r="V100" s="54"/>
      <c r="W100" s="42"/>
      <c r="X100" s="42"/>
      <c r="Y100" s="42"/>
      <c r="Z100" s="55"/>
      <c r="AA100" s="42"/>
      <c r="AB100" s="42"/>
      <c r="AC100" s="42"/>
      <c r="AD100" s="42"/>
      <c r="AE100" s="42"/>
      <c r="AF100" s="55"/>
      <c r="AG100" s="55"/>
      <c r="AH100" s="42"/>
      <c r="AI100" s="20"/>
      <c r="AJ100" s="56"/>
      <c r="AK100" s="42"/>
      <c r="AL100" s="42"/>
      <c r="AM100" s="55"/>
      <c r="AN100" s="42"/>
      <c r="AO100" s="42"/>
      <c r="AP100" s="42"/>
      <c r="AQ100" s="42"/>
      <c r="AR100" s="42"/>
      <c r="AS100" s="42"/>
      <c r="AT100" s="55"/>
      <c r="AU100" s="57"/>
      <c r="AV100" s="57"/>
      <c r="AW100" s="57"/>
      <c r="AX100" s="57"/>
      <c r="AY100" s="57"/>
      <c r="AZ100" s="57"/>
      <c r="BA100" s="57"/>
      <c r="BB100" s="58"/>
      <c r="BC100" s="57"/>
      <c r="BD100" s="58"/>
      <c r="BE100" s="57"/>
      <c r="BF100" s="57"/>
      <c r="BG100" s="57"/>
      <c r="BH100" s="57"/>
      <c r="BI100" s="54"/>
      <c r="BJ100" s="53"/>
      <c r="BK100" s="53"/>
      <c r="BL100" s="59"/>
      <c r="BM100" s="59"/>
      <c r="BN100" s="59"/>
      <c r="BO100" s="59"/>
      <c r="BP100" s="60"/>
      <c r="BQ100" s="59"/>
      <c r="BR100" s="59"/>
      <c r="BS100" s="59"/>
      <c r="BT100" s="59"/>
      <c r="BU100" s="59"/>
      <c r="BV100" s="59"/>
      <c r="BW100" s="59"/>
      <c r="BX100" s="60"/>
      <c r="BY100" s="61"/>
      <c r="BZ100" s="61"/>
      <c r="CA100" s="61"/>
      <c r="CB100" s="61"/>
      <c r="CC100" s="61"/>
      <c r="CD100" s="61"/>
      <c r="CE100" s="61"/>
      <c r="CF100" s="61"/>
      <c r="CG100" s="55"/>
      <c r="CH100" s="55"/>
      <c r="CI100" s="28"/>
      <c r="CJ100" s="49"/>
      <c r="CK100" s="50" t="str">
        <f t="shared" si="1"/>
        <v>0</v>
      </c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</row>
    <row r="101" ht="15.75" customHeight="1">
      <c r="A101" s="51" t="s">
        <v>283</v>
      </c>
      <c r="B101" s="52" t="s">
        <v>284</v>
      </c>
      <c r="C101" s="53"/>
      <c r="D101" s="54"/>
      <c r="E101" s="53"/>
      <c r="F101" s="54"/>
      <c r="G101" s="53"/>
      <c r="H101" s="53"/>
      <c r="I101" s="54"/>
      <c r="J101" s="53"/>
      <c r="K101" s="53"/>
      <c r="L101" s="54"/>
      <c r="M101" s="54"/>
      <c r="N101" s="54"/>
      <c r="O101" s="53"/>
      <c r="P101" s="53"/>
      <c r="Q101" s="53"/>
      <c r="R101" s="53"/>
      <c r="S101" s="54"/>
      <c r="T101" s="53"/>
      <c r="U101" s="54"/>
      <c r="V101" s="54"/>
      <c r="W101" s="42"/>
      <c r="X101" s="42"/>
      <c r="Y101" s="42"/>
      <c r="Z101" s="55"/>
      <c r="AA101" s="42"/>
      <c r="AB101" s="42"/>
      <c r="AC101" s="42"/>
      <c r="AD101" s="42"/>
      <c r="AE101" s="42"/>
      <c r="AF101" s="55"/>
      <c r="AG101" s="55"/>
      <c r="AH101" s="42"/>
      <c r="AI101" s="20"/>
      <c r="AJ101" s="56"/>
      <c r="AK101" s="42"/>
      <c r="AL101" s="42"/>
      <c r="AM101" s="55"/>
      <c r="AN101" s="42"/>
      <c r="AO101" s="42"/>
      <c r="AP101" s="42"/>
      <c r="AQ101" s="42"/>
      <c r="AR101" s="42"/>
      <c r="AS101" s="42"/>
      <c r="AT101" s="55"/>
      <c r="AU101" s="57"/>
      <c r="AV101" s="57"/>
      <c r="AW101" s="57"/>
      <c r="AX101" s="57"/>
      <c r="AY101" s="57"/>
      <c r="AZ101" s="57" t="str">
        <f>AZ3*2</f>
        <v>2</v>
      </c>
      <c r="BA101" s="57"/>
      <c r="BB101" s="58"/>
      <c r="BC101" s="57"/>
      <c r="BD101" s="58"/>
      <c r="BE101" s="57"/>
      <c r="BF101" s="57"/>
      <c r="BG101" s="57"/>
      <c r="BH101" s="57"/>
      <c r="BI101" s="54"/>
      <c r="BJ101" s="53"/>
      <c r="BK101" s="53"/>
      <c r="BL101" s="59"/>
      <c r="BM101" s="59"/>
      <c r="BN101" s="59"/>
      <c r="BO101" s="59"/>
      <c r="BP101" s="60"/>
      <c r="BQ101" s="59"/>
      <c r="BR101" s="59"/>
      <c r="BS101" s="59"/>
      <c r="BT101" s="59"/>
      <c r="BU101" s="59"/>
      <c r="BV101" s="59"/>
      <c r="BW101" s="59"/>
      <c r="BX101" s="60"/>
      <c r="BY101" s="61"/>
      <c r="BZ101" s="61"/>
      <c r="CA101" s="61"/>
      <c r="CB101" s="61"/>
      <c r="CC101" s="61"/>
      <c r="CD101" s="61"/>
      <c r="CE101" s="61"/>
      <c r="CF101" s="61"/>
      <c r="CG101" s="55"/>
      <c r="CH101" s="55"/>
      <c r="CI101" s="28"/>
      <c r="CJ101" s="49"/>
      <c r="CK101" s="50" t="str">
        <f t="shared" si="1"/>
        <v>2</v>
      </c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</row>
    <row r="102" ht="15.75" customHeight="1">
      <c r="A102" s="62" t="s">
        <v>285</v>
      </c>
      <c r="B102" s="63" t="s">
        <v>286</v>
      </c>
      <c r="C102" s="53"/>
      <c r="D102" s="54"/>
      <c r="E102" s="53"/>
      <c r="F102" s="54"/>
      <c r="G102" s="53"/>
      <c r="H102" s="53"/>
      <c r="I102" s="54"/>
      <c r="J102" s="53"/>
      <c r="K102" s="53"/>
      <c r="L102" s="54"/>
      <c r="M102" s="54"/>
      <c r="N102" s="54"/>
      <c r="O102" s="53"/>
      <c r="P102" s="53"/>
      <c r="Q102" s="53"/>
      <c r="R102" s="53"/>
      <c r="S102" s="54"/>
      <c r="T102" s="53"/>
      <c r="U102" s="54"/>
      <c r="V102" s="54"/>
      <c r="W102" s="42"/>
      <c r="X102" s="42"/>
      <c r="Y102" s="42"/>
      <c r="Z102" s="55"/>
      <c r="AA102" s="42"/>
      <c r="AB102" s="42"/>
      <c r="AC102" s="42"/>
      <c r="AD102" s="42"/>
      <c r="AE102" s="42"/>
      <c r="AF102" s="55"/>
      <c r="AG102" s="55"/>
      <c r="AH102" s="42"/>
      <c r="AI102" s="20"/>
      <c r="AJ102" s="56"/>
      <c r="AK102" s="42"/>
      <c r="AL102" s="42"/>
      <c r="AM102" s="55"/>
      <c r="AN102" s="42"/>
      <c r="AO102" s="42"/>
      <c r="AP102" s="42"/>
      <c r="AQ102" s="42"/>
      <c r="AR102" s="42"/>
      <c r="AS102" s="42"/>
      <c r="AT102" s="55"/>
      <c r="AU102" s="57"/>
      <c r="AV102" s="57"/>
      <c r="AW102" s="57"/>
      <c r="AX102" s="57"/>
      <c r="AY102" s="57"/>
      <c r="AZ102" s="57"/>
      <c r="BA102" s="57"/>
      <c r="BB102" s="58" t="str">
        <f>BB3*6</f>
        <v>0</v>
      </c>
      <c r="BC102" s="57"/>
      <c r="BD102" s="58"/>
      <c r="BE102" s="57"/>
      <c r="BF102" s="57"/>
      <c r="BG102" s="57"/>
      <c r="BH102" s="57"/>
      <c r="BI102" s="54"/>
      <c r="BJ102" s="53"/>
      <c r="BK102" s="53"/>
      <c r="BL102" s="59"/>
      <c r="BM102" s="59"/>
      <c r="BN102" s="59"/>
      <c r="BO102" s="59"/>
      <c r="BP102" s="60"/>
      <c r="BQ102" s="59"/>
      <c r="BR102" s="59"/>
      <c r="BS102" s="59"/>
      <c r="BT102" s="59"/>
      <c r="BU102" s="59"/>
      <c r="BV102" s="59"/>
      <c r="BW102" s="59"/>
      <c r="BX102" s="60"/>
      <c r="BY102" s="61"/>
      <c r="BZ102" s="61"/>
      <c r="CA102" s="61"/>
      <c r="CB102" s="61"/>
      <c r="CC102" s="61"/>
      <c r="CD102" s="61"/>
      <c r="CE102" s="61"/>
      <c r="CF102" s="61"/>
      <c r="CG102" s="55"/>
      <c r="CH102" s="55"/>
      <c r="CI102" s="28"/>
      <c r="CJ102" s="49"/>
      <c r="CK102" s="50" t="str">
        <f t="shared" si="1"/>
        <v>0</v>
      </c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</row>
    <row r="103" ht="15.75" customHeight="1">
      <c r="A103" s="51" t="s">
        <v>287</v>
      </c>
      <c r="B103" s="52" t="s">
        <v>288</v>
      </c>
      <c r="C103" s="53"/>
      <c r="D103" s="54"/>
      <c r="E103" s="53"/>
      <c r="F103" s="54"/>
      <c r="G103" s="53" t="str">
        <f>G3*75.2</f>
        <v>75.2</v>
      </c>
      <c r="H103" s="53"/>
      <c r="I103" s="54"/>
      <c r="J103" s="53"/>
      <c r="K103" s="53"/>
      <c r="L103" s="54"/>
      <c r="M103" s="54"/>
      <c r="N103" s="54"/>
      <c r="O103" s="53" t="str">
        <f>O3*250</f>
        <v>0</v>
      </c>
      <c r="P103" s="53"/>
      <c r="Q103" s="53"/>
      <c r="R103" s="53"/>
      <c r="S103" s="54"/>
      <c r="T103" s="53"/>
      <c r="U103" s="54"/>
      <c r="V103" s="54"/>
      <c r="W103" s="42"/>
      <c r="X103" s="42"/>
      <c r="Y103" s="42"/>
      <c r="Z103" s="55"/>
      <c r="AA103" s="42"/>
      <c r="AB103" s="42"/>
      <c r="AC103" s="42"/>
      <c r="AD103" s="42"/>
      <c r="AE103" s="42"/>
      <c r="AF103" s="55"/>
      <c r="AG103" s="55"/>
      <c r="AH103" s="42"/>
      <c r="AI103" s="20"/>
      <c r="AJ103" s="56"/>
      <c r="AK103" s="42"/>
      <c r="AL103" s="42"/>
      <c r="AM103" s="55"/>
      <c r="AN103" s="42"/>
      <c r="AO103" s="42"/>
      <c r="AP103" s="42"/>
      <c r="AQ103" s="42"/>
      <c r="AR103" s="42"/>
      <c r="AS103" s="42"/>
      <c r="AT103" s="55"/>
      <c r="AU103" s="57"/>
      <c r="AV103" s="57"/>
      <c r="AW103" s="57"/>
      <c r="AX103" s="57"/>
      <c r="AY103" s="57"/>
      <c r="AZ103" s="57"/>
      <c r="BA103" s="57"/>
      <c r="BB103" s="58"/>
      <c r="BC103" s="57"/>
      <c r="BD103" s="58"/>
      <c r="BE103" s="57"/>
      <c r="BF103" s="57"/>
      <c r="BG103" s="57"/>
      <c r="BH103" s="57"/>
      <c r="BI103" s="54"/>
      <c r="BJ103" s="53"/>
      <c r="BK103" s="53"/>
      <c r="BL103" s="59"/>
      <c r="BM103" s="59"/>
      <c r="BN103" s="59"/>
      <c r="BO103" s="59"/>
      <c r="BP103" s="60"/>
      <c r="BQ103" s="59"/>
      <c r="BR103" s="59"/>
      <c r="BS103" s="59"/>
      <c r="BT103" s="59"/>
      <c r="BU103" s="59"/>
      <c r="BV103" s="59"/>
      <c r="BW103" s="59"/>
      <c r="BX103" s="60"/>
      <c r="BY103" s="61"/>
      <c r="BZ103" s="61"/>
      <c r="CA103" s="61"/>
      <c r="CB103" s="61"/>
      <c r="CC103" s="61"/>
      <c r="CD103" s="61"/>
      <c r="CE103" s="61"/>
      <c r="CF103" s="61"/>
      <c r="CG103" s="55"/>
      <c r="CH103" s="55"/>
      <c r="CI103" s="28"/>
      <c r="CJ103" s="49"/>
      <c r="CK103" s="50" t="str">
        <f t="shared" si="1"/>
        <v>75.2</v>
      </c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</row>
    <row r="104" ht="15.75" customHeight="1">
      <c r="A104" s="62" t="s">
        <v>289</v>
      </c>
      <c r="B104" s="63" t="s">
        <v>290</v>
      </c>
      <c r="C104" s="53"/>
      <c r="D104" s="54"/>
      <c r="E104" s="53"/>
      <c r="F104" s="54"/>
      <c r="G104" s="53"/>
      <c r="H104" s="53"/>
      <c r="I104" s="54"/>
      <c r="J104" s="53"/>
      <c r="K104" s="53"/>
      <c r="L104" s="54"/>
      <c r="M104" s="54"/>
      <c r="N104" s="54"/>
      <c r="O104" s="53" t="str">
        <f>O3*5</f>
        <v>0</v>
      </c>
      <c r="P104" s="53"/>
      <c r="Q104" s="53"/>
      <c r="R104" s="53"/>
      <c r="S104" s="54"/>
      <c r="T104" s="53"/>
      <c r="U104" s="54"/>
      <c r="V104" s="54"/>
      <c r="W104" s="42"/>
      <c r="X104" s="42"/>
      <c r="Y104" s="42"/>
      <c r="Z104" s="55"/>
      <c r="AA104" s="42" t="str">
        <f>3.9*AA3</f>
        <v>7.8</v>
      </c>
      <c r="AB104" s="42"/>
      <c r="AC104" s="42"/>
      <c r="AD104" s="42"/>
      <c r="AE104" s="42"/>
      <c r="AF104" s="55"/>
      <c r="AG104" s="55"/>
      <c r="AH104" s="42"/>
      <c r="AI104" s="20"/>
      <c r="AJ104" s="56"/>
      <c r="AK104" s="42"/>
      <c r="AL104" s="42" t="str">
        <f>AL3*3.9</f>
        <v>0</v>
      </c>
      <c r="AM104" s="55" t="str">
        <f>AM3*10</f>
        <v>0</v>
      </c>
      <c r="AN104" s="42"/>
      <c r="AO104" s="42"/>
      <c r="AP104" s="42" t="str">
        <f>AP3*5.1</f>
        <v>0</v>
      </c>
      <c r="AQ104" s="42"/>
      <c r="AR104" s="42"/>
      <c r="AS104" s="42"/>
      <c r="AT104" s="55"/>
      <c r="AU104" s="57"/>
      <c r="AV104" s="57"/>
      <c r="AW104" s="57"/>
      <c r="AX104" s="57"/>
      <c r="AY104" s="57"/>
      <c r="AZ104" s="57"/>
      <c r="BA104" s="57"/>
      <c r="BB104" s="58"/>
      <c r="BC104" s="57"/>
      <c r="BD104" s="58"/>
      <c r="BE104" s="57"/>
      <c r="BF104" s="57"/>
      <c r="BG104" s="57"/>
      <c r="BH104" s="57"/>
      <c r="BI104" s="54"/>
      <c r="BJ104" s="53"/>
      <c r="BK104" s="53"/>
      <c r="BL104" s="59"/>
      <c r="BM104" s="59"/>
      <c r="BN104" s="59"/>
      <c r="BO104" s="59"/>
      <c r="BP104" s="60"/>
      <c r="BQ104" s="59"/>
      <c r="BR104" s="59"/>
      <c r="BS104" s="59"/>
      <c r="BT104" s="59"/>
      <c r="BU104" s="59"/>
      <c r="BV104" s="59"/>
      <c r="BW104" s="59"/>
      <c r="BX104" s="60"/>
      <c r="BY104" s="61"/>
      <c r="BZ104" s="61"/>
      <c r="CA104" s="61"/>
      <c r="CB104" s="61"/>
      <c r="CC104" s="61"/>
      <c r="CD104" s="61"/>
      <c r="CE104" s="61"/>
      <c r="CF104" s="61"/>
      <c r="CG104" s="55"/>
      <c r="CH104" s="55"/>
      <c r="CI104" s="28"/>
      <c r="CJ104" s="49"/>
      <c r="CK104" s="50" t="str">
        <f t="shared" si="1"/>
        <v>7.8</v>
      </c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</row>
    <row r="105" ht="15.75" customHeight="1">
      <c r="A105" s="51" t="s">
        <v>291</v>
      </c>
      <c r="B105" s="52" t="s">
        <v>292</v>
      </c>
      <c r="C105" s="53"/>
      <c r="D105" s="54"/>
      <c r="E105" s="53"/>
      <c r="F105" s="54"/>
      <c r="G105" s="53"/>
      <c r="H105" s="53"/>
      <c r="I105" s="54"/>
      <c r="J105" s="53"/>
      <c r="K105" s="53"/>
      <c r="L105" s="54"/>
      <c r="M105" s="54"/>
      <c r="N105" s="54"/>
      <c r="O105" s="53"/>
      <c r="P105" s="53"/>
      <c r="Q105" s="53"/>
      <c r="R105" s="53"/>
      <c r="S105" s="54"/>
      <c r="T105" s="53"/>
      <c r="U105" s="54"/>
      <c r="V105" s="54"/>
      <c r="W105" s="42"/>
      <c r="X105" s="42"/>
      <c r="Y105" s="42"/>
      <c r="Z105" s="55"/>
      <c r="AA105" s="42" t="str">
        <f>4*AA3</f>
        <v>8</v>
      </c>
      <c r="AB105" s="42"/>
      <c r="AC105" s="42"/>
      <c r="AD105" s="42"/>
      <c r="AE105" s="42"/>
      <c r="AF105" s="55"/>
      <c r="AG105" s="55"/>
      <c r="AH105" s="42"/>
      <c r="AI105" s="20"/>
      <c r="AJ105" s="56"/>
      <c r="AK105" s="42"/>
      <c r="AL105" s="42"/>
      <c r="AM105" s="55"/>
      <c r="AN105" s="42"/>
      <c r="AO105" s="42"/>
      <c r="AP105" s="42" t="str">
        <f>AP3*8.19</f>
        <v>0</v>
      </c>
      <c r="AQ105" s="42"/>
      <c r="AR105" s="42"/>
      <c r="AS105" s="42"/>
      <c r="AT105" s="55"/>
      <c r="AU105" s="57"/>
      <c r="AV105" s="57"/>
      <c r="AW105" s="57"/>
      <c r="AX105" s="57"/>
      <c r="AY105" s="57"/>
      <c r="AZ105" s="57"/>
      <c r="BA105" s="57"/>
      <c r="BB105" s="58"/>
      <c r="BC105" s="57"/>
      <c r="BD105" s="58"/>
      <c r="BE105" s="57"/>
      <c r="BF105" s="57"/>
      <c r="BG105" s="57"/>
      <c r="BH105" s="57"/>
      <c r="BI105" s="54"/>
      <c r="BJ105" s="53"/>
      <c r="BK105" s="53"/>
      <c r="BL105" s="59"/>
      <c r="BM105" s="59"/>
      <c r="BN105" s="59"/>
      <c r="BO105" s="59"/>
      <c r="BP105" s="60"/>
      <c r="BQ105" s="59"/>
      <c r="BR105" s="59"/>
      <c r="BS105" s="59"/>
      <c r="BT105" s="59"/>
      <c r="BU105" s="59"/>
      <c r="BV105" s="59"/>
      <c r="BW105" s="59"/>
      <c r="BX105" s="60"/>
      <c r="BY105" s="61"/>
      <c r="BZ105" s="61"/>
      <c r="CA105" s="61"/>
      <c r="CB105" s="61"/>
      <c r="CC105" s="61"/>
      <c r="CD105" s="61"/>
      <c r="CE105" s="61"/>
      <c r="CF105" s="61"/>
      <c r="CG105" s="55"/>
      <c r="CH105" s="55"/>
      <c r="CI105" s="28"/>
      <c r="CJ105" s="49"/>
      <c r="CK105" s="50" t="str">
        <f t="shared" si="1"/>
        <v>8</v>
      </c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</row>
    <row r="106" ht="15.75" customHeight="1">
      <c r="A106" s="62" t="s">
        <v>293</v>
      </c>
      <c r="B106" s="63" t="s">
        <v>294</v>
      </c>
      <c r="C106" s="53"/>
      <c r="D106" s="54"/>
      <c r="E106" s="53"/>
      <c r="F106" s="54"/>
      <c r="G106" s="53"/>
      <c r="H106" s="53"/>
      <c r="I106" s="54"/>
      <c r="J106" s="53"/>
      <c r="K106" s="53"/>
      <c r="L106" s="54"/>
      <c r="M106" s="54"/>
      <c r="N106" s="54"/>
      <c r="O106" s="53"/>
      <c r="P106" s="53"/>
      <c r="Q106" s="53"/>
      <c r="R106" s="53"/>
      <c r="S106" s="54"/>
      <c r="T106" s="53"/>
      <c r="U106" s="54"/>
      <c r="V106" s="54"/>
      <c r="W106" s="42"/>
      <c r="X106" s="42"/>
      <c r="Y106" s="42"/>
      <c r="Z106" s="55"/>
      <c r="AA106" s="42"/>
      <c r="AB106" s="42"/>
      <c r="AC106" s="42"/>
      <c r="AD106" s="42"/>
      <c r="AE106" s="42"/>
      <c r="AF106" s="55"/>
      <c r="AG106" s="55"/>
      <c r="AH106" s="42"/>
      <c r="AI106" s="20"/>
      <c r="AJ106" s="56"/>
      <c r="AK106" s="42"/>
      <c r="AL106" s="42"/>
      <c r="AM106" s="55"/>
      <c r="AN106" s="42"/>
      <c r="AO106" s="42"/>
      <c r="AP106" s="42"/>
      <c r="AQ106" s="42"/>
      <c r="AR106" s="42"/>
      <c r="AS106" s="42"/>
      <c r="AT106" s="55"/>
      <c r="AU106" s="57"/>
      <c r="AV106" s="57"/>
      <c r="AW106" s="57"/>
      <c r="AX106" s="57"/>
      <c r="AY106" s="57"/>
      <c r="AZ106" s="57"/>
      <c r="BA106" s="57"/>
      <c r="BB106" s="58"/>
      <c r="BC106" s="57"/>
      <c r="BD106" s="58"/>
      <c r="BE106" s="57"/>
      <c r="BF106" s="57"/>
      <c r="BG106" s="57"/>
      <c r="BH106" s="57"/>
      <c r="BI106" s="54"/>
      <c r="BJ106" s="53"/>
      <c r="BK106" s="53"/>
      <c r="BL106" s="59"/>
      <c r="BM106" s="59"/>
      <c r="BN106" s="59"/>
      <c r="BO106" s="59"/>
      <c r="BP106" s="60"/>
      <c r="BQ106" s="59"/>
      <c r="BR106" s="59"/>
      <c r="BS106" s="59"/>
      <c r="BT106" s="59"/>
      <c r="BU106" s="59"/>
      <c r="BV106" s="59"/>
      <c r="BW106" s="59"/>
      <c r="BX106" s="60"/>
      <c r="BY106" s="61"/>
      <c r="BZ106" s="61"/>
      <c r="CA106" s="61"/>
      <c r="CB106" s="61"/>
      <c r="CC106" s="61"/>
      <c r="CD106" s="61"/>
      <c r="CE106" s="61"/>
      <c r="CF106" s="61"/>
      <c r="CG106" s="55"/>
      <c r="CH106" s="55"/>
      <c r="CI106" s="28"/>
      <c r="CJ106" s="49"/>
      <c r="CK106" s="50" t="str">
        <f t="shared" si="1"/>
        <v>0</v>
      </c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</row>
    <row r="107" ht="15.75" customHeight="1">
      <c r="A107" s="51" t="s">
        <v>295</v>
      </c>
      <c r="B107" s="52" t="s">
        <v>296</v>
      </c>
      <c r="C107" s="53"/>
      <c r="D107" s="54"/>
      <c r="E107" s="53"/>
      <c r="F107" s="54"/>
      <c r="G107" s="53"/>
      <c r="H107" s="53"/>
      <c r="I107" s="54"/>
      <c r="J107" s="53"/>
      <c r="K107" s="53"/>
      <c r="L107" s="54"/>
      <c r="M107" s="54"/>
      <c r="N107" s="54"/>
      <c r="O107" s="53"/>
      <c r="P107" s="53"/>
      <c r="Q107" s="53"/>
      <c r="R107" s="53"/>
      <c r="S107" s="54"/>
      <c r="T107" s="53"/>
      <c r="U107" s="54"/>
      <c r="V107" s="54"/>
      <c r="W107" s="42"/>
      <c r="X107" s="42" t="str">
        <f>392*X3</f>
        <v>392</v>
      </c>
      <c r="Y107" s="42"/>
      <c r="Z107" s="55"/>
      <c r="AA107" s="42" t="str">
        <f>420*AA3</f>
        <v>840</v>
      </c>
      <c r="AB107" s="42"/>
      <c r="AC107" s="42"/>
      <c r="AD107" s="42"/>
      <c r="AE107" s="42"/>
      <c r="AF107" s="55"/>
      <c r="AG107" s="55"/>
      <c r="AH107" s="42"/>
      <c r="AI107" s="20"/>
      <c r="AJ107" s="56"/>
      <c r="AK107" s="42"/>
      <c r="AL107" s="42" t="str">
        <f>AL3*500</f>
        <v>0</v>
      </c>
      <c r="AM107" s="55"/>
      <c r="AN107" s="42"/>
      <c r="AO107" s="42"/>
      <c r="AP107" s="42">
        <v>0.0</v>
      </c>
      <c r="AQ107" s="42"/>
      <c r="AR107" s="42"/>
      <c r="AS107" s="42" t="str">
        <f>AS3*214.5</f>
        <v>0</v>
      </c>
      <c r="AT107" s="55"/>
      <c r="AU107" s="57"/>
      <c r="AV107" s="57"/>
      <c r="AW107" s="57"/>
      <c r="AX107" s="57"/>
      <c r="AY107" s="57"/>
      <c r="AZ107" s="57"/>
      <c r="BA107" s="57"/>
      <c r="BB107" s="58"/>
      <c r="BC107" s="57"/>
      <c r="BD107" s="58"/>
      <c r="BE107" s="57"/>
      <c r="BF107" s="57"/>
      <c r="BG107" s="57"/>
      <c r="BH107" s="57"/>
      <c r="BI107" s="54"/>
      <c r="BJ107" s="53"/>
      <c r="BK107" s="53"/>
      <c r="BL107" s="59"/>
      <c r="BM107" s="59"/>
      <c r="BN107" s="59"/>
      <c r="BO107" s="59"/>
      <c r="BP107" s="60"/>
      <c r="BQ107" s="59"/>
      <c r="BR107" s="59"/>
      <c r="BS107" s="59"/>
      <c r="BT107" s="59"/>
      <c r="BU107" s="59"/>
      <c r="BV107" s="59"/>
      <c r="BW107" s="59"/>
      <c r="BX107" s="60"/>
      <c r="BY107" s="61"/>
      <c r="BZ107" s="61"/>
      <c r="CA107" s="61"/>
      <c r="CB107" s="61"/>
      <c r="CC107" s="61"/>
      <c r="CD107" s="61"/>
      <c r="CE107" s="61"/>
      <c r="CF107" s="61"/>
      <c r="CG107" s="55"/>
      <c r="CH107" s="55"/>
      <c r="CI107" s="28"/>
      <c r="CJ107" s="49"/>
      <c r="CK107" s="50" t="str">
        <f t="shared" si="1"/>
        <v>1232</v>
      </c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</row>
    <row r="108" ht="15.75" customHeight="1">
      <c r="A108" s="62" t="s">
        <v>297</v>
      </c>
      <c r="B108" s="63" t="s">
        <v>298</v>
      </c>
      <c r="C108" s="53"/>
      <c r="D108" s="54"/>
      <c r="E108" s="53"/>
      <c r="F108" s="54"/>
      <c r="G108" s="53"/>
      <c r="H108" s="53"/>
      <c r="I108" s="54"/>
      <c r="J108" s="53"/>
      <c r="K108" s="53"/>
      <c r="L108" s="54"/>
      <c r="M108" s="54"/>
      <c r="N108" s="54"/>
      <c r="O108" s="53"/>
      <c r="P108" s="53"/>
      <c r="Q108" s="53"/>
      <c r="R108" s="53"/>
      <c r="S108" s="54"/>
      <c r="T108" s="53"/>
      <c r="U108" s="54"/>
      <c r="V108" s="54"/>
      <c r="W108" s="42"/>
      <c r="X108" s="42"/>
      <c r="Y108" s="42"/>
      <c r="Z108" s="55"/>
      <c r="AA108" s="42"/>
      <c r="AB108" s="42"/>
      <c r="AC108" s="42"/>
      <c r="AD108" s="42"/>
      <c r="AE108" s="42"/>
      <c r="AF108" s="55"/>
      <c r="AG108" s="55"/>
      <c r="AH108" s="42"/>
      <c r="AI108" s="20"/>
      <c r="AJ108" s="56"/>
      <c r="AK108" s="42"/>
      <c r="AL108" s="42"/>
      <c r="AM108" s="55"/>
      <c r="AN108" s="42"/>
      <c r="AO108" s="42"/>
      <c r="AP108" s="42"/>
      <c r="AQ108" s="42"/>
      <c r="AR108" s="42"/>
      <c r="AS108" s="42"/>
      <c r="AT108" s="55"/>
      <c r="AU108" s="57"/>
      <c r="AV108" s="57"/>
      <c r="AW108" s="57"/>
      <c r="AX108" s="57"/>
      <c r="AY108" s="57"/>
      <c r="AZ108" s="57"/>
      <c r="BA108" s="57"/>
      <c r="BB108" s="58"/>
      <c r="BC108" s="57"/>
      <c r="BD108" s="58"/>
      <c r="BE108" s="57"/>
      <c r="BF108" s="57"/>
      <c r="BG108" s="57"/>
      <c r="BH108" s="57"/>
      <c r="BI108" s="54"/>
      <c r="BJ108" s="53"/>
      <c r="BK108" s="53"/>
      <c r="BL108" s="59"/>
      <c r="BM108" s="59"/>
      <c r="BN108" s="59"/>
      <c r="BO108" s="59"/>
      <c r="BP108" s="60"/>
      <c r="BQ108" s="59"/>
      <c r="BR108" s="59" t="str">
        <f>BR3*2.4</f>
        <v>1.2</v>
      </c>
      <c r="BS108" s="59"/>
      <c r="BT108" s="59"/>
      <c r="BU108" s="59"/>
      <c r="BV108" s="59" t="str">
        <f>BV3*8</f>
        <v>8</v>
      </c>
      <c r="BW108" s="59"/>
      <c r="BX108" s="60"/>
      <c r="BY108" s="61"/>
      <c r="BZ108" s="61"/>
      <c r="CA108" s="61"/>
      <c r="CB108" s="61"/>
      <c r="CC108" s="61"/>
      <c r="CD108" s="61"/>
      <c r="CE108" s="61"/>
      <c r="CF108" s="61"/>
      <c r="CG108" s="55"/>
      <c r="CH108" s="55"/>
      <c r="CI108" s="28"/>
      <c r="CJ108" s="49"/>
      <c r="CK108" s="50" t="str">
        <f t="shared" si="1"/>
        <v>9.2</v>
      </c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</row>
    <row r="109" ht="15.75" customHeight="1">
      <c r="A109" s="51" t="s">
        <v>299</v>
      </c>
      <c r="B109" s="52" t="s">
        <v>300</v>
      </c>
      <c r="C109" s="53"/>
      <c r="D109" s="54"/>
      <c r="E109" s="53"/>
      <c r="F109" s="54"/>
      <c r="G109" s="53"/>
      <c r="H109" s="53"/>
      <c r="I109" s="54"/>
      <c r="J109" s="53"/>
      <c r="K109" s="53"/>
      <c r="L109" s="54"/>
      <c r="M109" s="54"/>
      <c r="N109" s="54"/>
      <c r="O109" s="53"/>
      <c r="P109" s="53"/>
      <c r="Q109" s="53"/>
      <c r="R109" s="53"/>
      <c r="S109" s="54"/>
      <c r="T109" s="53"/>
      <c r="U109" s="54"/>
      <c r="V109" s="54"/>
      <c r="W109" s="42"/>
      <c r="X109" s="42"/>
      <c r="Y109" s="42"/>
      <c r="Z109" s="55"/>
      <c r="AA109" s="42"/>
      <c r="AB109" s="42"/>
      <c r="AC109" s="42"/>
      <c r="AD109" s="42"/>
      <c r="AE109" s="42"/>
      <c r="AF109" s="55"/>
      <c r="AG109" s="55"/>
      <c r="AH109" s="42"/>
      <c r="AI109" s="20"/>
      <c r="AJ109" s="56"/>
      <c r="AK109" s="42"/>
      <c r="AL109" s="42"/>
      <c r="AM109" s="55"/>
      <c r="AN109" s="42"/>
      <c r="AO109" s="42"/>
      <c r="AP109" s="42"/>
      <c r="AQ109" s="42"/>
      <c r="AR109" s="42"/>
      <c r="AS109" s="42"/>
      <c r="AT109" s="55"/>
      <c r="AU109" s="57"/>
      <c r="AV109" s="57"/>
      <c r="AW109" s="57"/>
      <c r="AX109" s="57"/>
      <c r="AY109" s="57"/>
      <c r="AZ109" s="57"/>
      <c r="BA109" s="57"/>
      <c r="BB109" s="58"/>
      <c r="BC109" s="57"/>
      <c r="BD109" s="58"/>
      <c r="BE109" s="57"/>
      <c r="BF109" s="57"/>
      <c r="BG109" s="57"/>
      <c r="BH109" s="57"/>
      <c r="BI109" s="54"/>
      <c r="BJ109" s="53"/>
      <c r="BK109" s="53"/>
      <c r="BL109" s="59"/>
      <c r="BM109" s="59"/>
      <c r="BN109" s="59"/>
      <c r="BO109" s="59"/>
      <c r="BP109" s="60"/>
      <c r="BQ109" s="59"/>
      <c r="BR109" s="59"/>
      <c r="BS109" s="59"/>
      <c r="BT109" s="59"/>
      <c r="BU109" s="59"/>
      <c r="BV109" s="59" t="str">
        <f>BV3*700</f>
        <v>700</v>
      </c>
      <c r="BW109" s="59"/>
      <c r="BX109" s="60"/>
      <c r="BY109" s="61"/>
      <c r="BZ109" s="61"/>
      <c r="CA109" s="61"/>
      <c r="CB109" s="61"/>
      <c r="CC109" s="61"/>
      <c r="CD109" s="61"/>
      <c r="CE109" s="61"/>
      <c r="CF109" s="61"/>
      <c r="CG109" s="55"/>
      <c r="CH109" s="55"/>
      <c r="CI109" s="28"/>
      <c r="CJ109" s="49"/>
      <c r="CK109" s="50" t="str">
        <f t="shared" si="1"/>
        <v>700</v>
      </c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ht="15.75" customHeight="1">
      <c r="A110" s="62" t="s">
        <v>301</v>
      </c>
      <c r="B110" s="63" t="s">
        <v>302</v>
      </c>
      <c r="C110" s="53"/>
      <c r="D110" s="54"/>
      <c r="E110" s="53"/>
      <c r="F110" s="54"/>
      <c r="G110" s="53"/>
      <c r="H110" s="53"/>
      <c r="I110" s="54"/>
      <c r="J110" s="53"/>
      <c r="K110" s="53"/>
      <c r="L110" s="54"/>
      <c r="M110" s="54"/>
      <c r="N110" s="54"/>
      <c r="O110" s="53"/>
      <c r="P110" s="53"/>
      <c r="Q110" s="53"/>
      <c r="R110" s="53"/>
      <c r="S110" s="54"/>
      <c r="T110" s="53"/>
      <c r="U110" s="54"/>
      <c r="V110" s="54"/>
      <c r="W110" s="42"/>
      <c r="X110" s="42"/>
      <c r="Y110" s="42"/>
      <c r="Z110" s="55"/>
      <c r="AA110" s="42"/>
      <c r="AB110" s="42"/>
      <c r="AC110" s="42"/>
      <c r="AD110" s="42"/>
      <c r="AE110" s="42"/>
      <c r="AF110" s="55"/>
      <c r="AG110" s="55"/>
      <c r="AH110" s="42"/>
      <c r="AI110" s="20"/>
      <c r="AJ110" s="56"/>
      <c r="AK110" s="42"/>
      <c r="AL110" s="42"/>
      <c r="AM110" s="55"/>
      <c r="AN110" s="42"/>
      <c r="AO110" s="42"/>
      <c r="AP110" s="42"/>
      <c r="AQ110" s="42"/>
      <c r="AR110" s="42"/>
      <c r="AS110" s="42"/>
      <c r="AT110" s="55"/>
      <c r="AU110" s="57"/>
      <c r="AV110" s="57"/>
      <c r="AW110" s="57"/>
      <c r="AX110" s="57"/>
      <c r="AY110" s="57"/>
      <c r="AZ110" s="57"/>
      <c r="BA110" s="57"/>
      <c r="BB110" s="58"/>
      <c r="BC110" s="57"/>
      <c r="BD110" s="58"/>
      <c r="BE110" s="57"/>
      <c r="BF110" s="57"/>
      <c r="BG110" s="57"/>
      <c r="BH110" s="57"/>
      <c r="BI110" s="54"/>
      <c r="BJ110" s="53"/>
      <c r="BK110" s="53"/>
      <c r="BL110" s="59"/>
      <c r="BM110" s="59"/>
      <c r="BN110" s="59"/>
      <c r="BO110" s="59"/>
      <c r="BP110" s="60"/>
      <c r="BQ110" s="59"/>
      <c r="BR110" s="59"/>
      <c r="BS110" s="59"/>
      <c r="BT110" s="59"/>
      <c r="BU110" s="59"/>
      <c r="BV110" s="59"/>
      <c r="BW110" s="59"/>
      <c r="BX110" s="60"/>
      <c r="BY110" s="61"/>
      <c r="BZ110" s="61"/>
      <c r="CA110" s="61"/>
      <c r="CB110" s="61"/>
      <c r="CC110" s="61"/>
      <c r="CD110" s="61"/>
      <c r="CE110" s="61"/>
      <c r="CF110" s="61"/>
      <c r="CG110" s="55"/>
      <c r="CH110" s="55"/>
      <c r="CI110" s="28"/>
      <c r="CJ110" s="49"/>
      <c r="CK110" s="50" t="str">
        <f t="shared" si="1"/>
        <v>0</v>
      </c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</row>
    <row r="111" ht="15.75" customHeight="1">
      <c r="A111" s="51" t="s">
        <v>303</v>
      </c>
      <c r="B111" s="52" t="s">
        <v>304</v>
      </c>
      <c r="C111" s="53"/>
      <c r="D111" s="54"/>
      <c r="E111" s="53"/>
      <c r="F111" s="54"/>
      <c r="G111" s="53"/>
      <c r="H111" s="53"/>
      <c r="I111" s="54"/>
      <c r="J111" s="53"/>
      <c r="K111" s="53"/>
      <c r="L111" s="54"/>
      <c r="M111" s="54"/>
      <c r="N111" s="54"/>
      <c r="O111" s="53"/>
      <c r="P111" s="53"/>
      <c r="Q111" s="53"/>
      <c r="R111" s="53"/>
      <c r="S111" s="54"/>
      <c r="T111" s="53"/>
      <c r="U111" s="54"/>
      <c r="V111" s="54"/>
      <c r="W111" s="42"/>
      <c r="X111" s="42"/>
      <c r="Y111" s="42"/>
      <c r="Z111" s="55"/>
      <c r="AA111" s="42"/>
      <c r="AB111" s="42"/>
      <c r="AC111" s="42"/>
      <c r="AD111" s="42"/>
      <c r="AE111" s="42"/>
      <c r="AF111" s="55"/>
      <c r="AG111" s="55"/>
      <c r="AH111" s="42"/>
      <c r="AI111" s="20"/>
      <c r="AJ111" s="56"/>
      <c r="AK111" s="42"/>
      <c r="AL111" s="42"/>
      <c r="AM111" s="55"/>
      <c r="AN111" s="42"/>
      <c r="AO111" s="42"/>
      <c r="AP111" s="42"/>
      <c r="AQ111" s="42"/>
      <c r="AR111" s="42"/>
      <c r="AS111" s="42"/>
      <c r="AT111" s="55"/>
      <c r="AU111" s="57"/>
      <c r="AV111" s="57" t="str">
        <f>AV3*2</f>
        <v>0</v>
      </c>
      <c r="AW111" s="57"/>
      <c r="AX111" s="57"/>
      <c r="AY111" s="57"/>
      <c r="AZ111" s="57"/>
      <c r="BA111" s="57"/>
      <c r="BB111" s="58"/>
      <c r="BC111" s="57"/>
      <c r="BD111" s="58"/>
      <c r="BE111" s="57"/>
      <c r="BF111" s="57"/>
      <c r="BG111" s="57"/>
      <c r="BH111" s="57" t="str">
        <f>BH3*2</f>
        <v>0</v>
      </c>
      <c r="BI111" s="54"/>
      <c r="BJ111" s="53"/>
      <c r="BK111" s="53"/>
      <c r="BL111" s="59"/>
      <c r="BM111" s="59"/>
      <c r="BN111" s="59"/>
      <c r="BO111" s="59"/>
      <c r="BP111" s="60"/>
      <c r="BQ111" s="59"/>
      <c r="BR111" s="59"/>
      <c r="BS111" s="59"/>
      <c r="BT111" s="59"/>
      <c r="BU111" s="59"/>
      <c r="BV111" s="59"/>
      <c r="BW111" s="59"/>
      <c r="BX111" s="60"/>
      <c r="BY111" s="61"/>
      <c r="BZ111" s="61"/>
      <c r="CA111" s="61"/>
      <c r="CB111" s="61"/>
      <c r="CC111" s="61"/>
      <c r="CD111" s="61"/>
      <c r="CE111" s="61"/>
      <c r="CF111" s="61"/>
      <c r="CG111" s="55"/>
      <c r="CH111" s="55"/>
      <c r="CI111" s="28"/>
      <c r="CJ111" s="49"/>
      <c r="CK111" s="50" t="str">
        <f t="shared" si="1"/>
        <v>0</v>
      </c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ht="15.75" customHeight="1">
      <c r="A112" s="62" t="s">
        <v>305</v>
      </c>
      <c r="B112" s="63" t="s">
        <v>306</v>
      </c>
      <c r="C112" s="53"/>
      <c r="D112" s="54"/>
      <c r="E112" s="53"/>
      <c r="F112" s="54"/>
      <c r="G112" s="53"/>
      <c r="H112" s="53"/>
      <c r="I112" s="54"/>
      <c r="J112" s="53"/>
      <c r="K112" s="53"/>
      <c r="L112" s="54"/>
      <c r="M112" s="54"/>
      <c r="N112" s="54"/>
      <c r="O112" s="53"/>
      <c r="P112" s="53"/>
      <c r="Q112" s="53"/>
      <c r="R112" s="53"/>
      <c r="S112" s="54"/>
      <c r="T112" s="53"/>
      <c r="U112" s="54"/>
      <c r="V112" s="54"/>
      <c r="W112" s="42"/>
      <c r="X112" s="42"/>
      <c r="Y112" s="42"/>
      <c r="Z112" s="55"/>
      <c r="AA112" s="42"/>
      <c r="AB112" s="42"/>
      <c r="AC112" s="42"/>
      <c r="AD112" s="42"/>
      <c r="AE112" s="42"/>
      <c r="AF112" s="55"/>
      <c r="AG112" s="55"/>
      <c r="AH112" s="42"/>
      <c r="AI112" s="20"/>
      <c r="AJ112" s="56"/>
      <c r="AK112" s="42"/>
      <c r="AL112" s="42"/>
      <c r="AM112" s="55"/>
      <c r="AN112" s="42"/>
      <c r="AO112" s="42"/>
      <c r="AP112" s="42"/>
      <c r="AQ112" s="42"/>
      <c r="AR112" s="42"/>
      <c r="AS112" s="42"/>
      <c r="AT112" s="55"/>
      <c r="AU112" s="57"/>
      <c r="AV112" s="57"/>
      <c r="AW112" s="57"/>
      <c r="AX112" s="57"/>
      <c r="AY112" s="57"/>
      <c r="AZ112" s="57"/>
      <c r="BA112" s="57"/>
      <c r="BB112" s="58"/>
      <c r="BC112" s="57"/>
      <c r="BD112" s="58"/>
      <c r="BE112" s="57"/>
      <c r="BF112" s="57"/>
      <c r="BG112" s="57"/>
      <c r="BH112" s="57"/>
      <c r="BI112" s="54"/>
      <c r="BJ112" s="53"/>
      <c r="BK112" s="53"/>
      <c r="BL112" s="59"/>
      <c r="BM112" s="59"/>
      <c r="BN112" s="59"/>
      <c r="BO112" s="59"/>
      <c r="BP112" s="60"/>
      <c r="BQ112" s="59"/>
      <c r="BR112" s="59"/>
      <c r="BS112" s="59"/>
      <c r="BT112" s="59"/>
      <c r="BU112" s="59"/>
      <c r="BV112" s="59"/>
      <c r="BW112" s="59"/>
      <c r="BX112" s="60"/>
      <c r="BY112" s="61"/>
      <c r="BZ112" s="61"/>
      <c r="CA112" s="61"/>
      <c r="CB112" s="61"/>
      <c r="CC112" s="61"/>
      <c r="CD112" s="61"/>
      <c r="CE112" s="61"/>
      <c r="CF112" s="61"/>
      <c r="CG112" s="55"/>
      <c r="CH112" s="55"/>
      <c r="CI112" s="28"/>
      <c r="CJ112" s="49"/>
      <c r="CK112" s="50" t="str">
        <f t="shared" si="1"/>
        <v>0</v>
      </c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</row>
    <row r="113" ht="15.75" customHeight="1">
      <c r="A113" s="51" t="s">
        <v>307</v>
      </c>
      <c r="B113" s="52" t="s">
        <v>308</v>
      </c>
      <c r="C113" s="53"/>
      <c r="D113" s="54"/>
      <c r="E113" s="53"/>
      <c r="F113" s="54"/>
      <c r="G113" s="53"/>
      <c r="H113" s="53"/>
      <c r="I113" s="54"/>
      <c r="J113" s="53"/>
      <c r="K113" s="53"/>
      <c r="L113" s="54"/>
      <c r="M113" s="54"/>
      <c r="N113" s="54"/>
      <c r="O113" s="53"/>
      <c r="P113" s="53" t="str">
        <f>P3*6</f>
        <v>6</v>
      </c>
      <c r="Q113" s="53"/>
      <c r="R113" s="53"/>
      <c r="S113" s="54"/>
      <c r="T113" s="53" t="str">
        <f>T3*505</f>
        <v>0</v>
      </c>
      <c r="U113" s="54"/>
      <c r="V113" s="54"/>
      <c r="W113" s="42" t="str">
        <f>W3*12</f>
        <v>0</v>
      </c>
      <c r="X113" s="42"/>
      <c r="Y113" s="42" t="str">
        <f t="shared" ref="Y113:Z113" si="20">Y3*150</f>
        <v>0</v>
      </c>
      <c r="Z113" s="55" t="str">
        <f t="shared" si="20"/>
        <v>0</v>
      </c>
      <c r="AA113" s="42"/>
      <c r="AB113" s="42"/>
      <c r="AC113" s="42"/>
      <c r="AD113" s="42"/>
      <c r="AE113" s="42"/>
      <c r="AF113" s="55"/>
      <c r="AG113" s="55"/>
      <c r="AH113" s="42"/>
      <c r="AI113" s="20"/>
      <c r="AJ113" s="56" t="str">
        <f>270*AJ3</f>
        <v>270</v>
      </c>
      <c r="AK113" s="42"/>
      <c r="AL113" s="42"/>
      <c r="AM113" s="55" t="str">
        <f>AM3*100</f>
        <v>0</v>
      </c>
      <c r="AN113" s="42"/>
      <c r="AO113" s="42"/>
      <c r="AP113" s="42"/>
      <c r="AQ113" s="42"/>
      <c r="AR113" s="42"/>
      <c r="AS113" s="42"/>
      <c r="AT113" s="55"/>
      <c r="AU113" s="57"/>
      <c r="AV113" s="57"/>
      <c r="AW113" s="57"/>
      <c r="AX113" s="57"/>
      <c r="AY113" s="57"/>
      <c r="AZ113" s="57"/>
      <c r="BA113" s="57"/>
      <c r="BB113" s="58"/>
      <c r="BC113" s="57"/>
      <c r="BD113" s="58"/>
      <c r="BE113" s="57"/>
      <c r="BF113" s="57"/>
      <c r="BG113" s="57"/>
      <c r="BH113" s="57"/>
      <c r="BI113" s="54" t="str">
        <f>1070*BI3</f>
        <v>0</v>
      </c>
      <c r="BJ113" s="53" t="str">
        <f>BJ3*1262</f>
        <v>1262</v>
      </c>
      <c r="BK113" s="53"/>
      <c r="BL113" s="59" t="str">
        <f>BL3*13.6</f>
        <v>0</v>
      </c>
      <c r="BM113" s="59" t="str">
        <f>BM3*80</f>
        <v>0</v>
      </c>
      <c r="BN113" s="59"/>
      <c r="BO113" s="59"/>
      <c r="BP113" s="60" t="str">
        <f>60*BP3</f>
        <v>30</v>
      </c>
      <c r="BQ113" s="59" t="str">
        <f>BQ3*240</f>
        <v>0</v>
      </c>
      <c r="BR113" s="59"/>
      <c r="BS113" s="59"/>
      <c r="BT113" s="59"/>
      <c r="BU113" s="59"/>
      <c r="BV113" s="59"/>
      <c r="BW113" s="59"/>
      <c r="BX113" s="60" t="str">
        <f>100*BX3</f>
        <v>200</v>
      </c>
      <c r="BY113" s="61"/>
      <c r="BZ113" s="61"/>
      <c r="CA113" s="61"/>
      <c r="CB113" s="61" t="str">
        <f>CB3*100</f>
        <v>100</v>
      </c>
      <c r="CC113" s="61" t="str">
        <f>CC3*6</f>
        <v>0</v>
      </c>
      <c r="CD113" s="61" t="str">
        <f>CD3*120</f>
        <v>0</v>
      </c>
      <c r="CE113" s="61"/>
      <c r="CF113" s="61"/>
      <c r="CG113" s="55"/>
      <c r="CH113" s="55"/>
      <c r="CI113" s="28"/>
      <c r="CJ113" s="49"/>
      <c r="CK113" s="50" t="str">
        <f t="shared" si="1"/>
        <v>1868</v>
      </c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</row>
    <row r="114" ht="15.75" customHeight="1">
      <c r="A114" s="62" t="s">
        <v>309</v>
      </c>
      <c r="B114" s="63" t="s">
        <v>310</v>
      </c>
      <c r="C114" s="53"/>
      <c r="D114" s="54"/>
      <c r="E114" s="53"/>
      <c r="F114" s="54"/>
      <c r="G114" s="53"/>
      <c r="H114" s="53"/>
      <c r="I114" s="54"/>
      <c r="J114" s="53"/>
      <c r="K114" s="53"/>
      <c r="L114" s="54"/>
      <c r="M114" s="54"/>
      <c r="N114" s="54"/>
      <c r="O114" s="53"/>
      <c r="P114" s="53"/>
      <c r="Q114" s="53"/>
      <c r="R114" s="53"/>
      <c r="S114" s="54"/>
      <c r="T114" s="53"/>
      <c r="U114" s="54"/>
      <c r="V114" s="54"/>
      <c r="W114" s="42"/>
      <c r="X114" s="42"/>
      <c r="Y114" s="42"/>
      <c r="Z114" s="55"/>
      <c r="AA114" s="42"/>
      <c r="AB114" s="42"/>
      <c r="AC114" s="42"/>
      <c r="AD114" s="42"/>
      <c r="AE114" s="42"/>
      <c r="AF114" s="55"/>
      <c r="AG114" s="55"/>
      <c r="AH114" s="42"/>
      <c r="AI114" s="20"/>
      <c r="AJ114" s="56"/>
      <c r="AK114" s="42"/>
      <c r="AL114" s="42"/>
      <c r="AM114" s="55"/>
      <c r="AN114" s="42"/>
      <c r="AO114" s="42"/>
      <c r="AP114" s="42"/>
      <c r="AQ114" s="42"/>
      <c r="AR114" s="42"/>
      <c r="AS114" s="42"/>
      <c r="AT114" s="55"/>
      <c r="AU114" s="57"/>
      <c r="AV114" s="57"/>
      <c r="AW114" s="57"/>
      <c r="AX114" s="57"/>
      <c r="AY114" s="57"/>
      <c r="AZ114" s="57"/>
      <c r="BA114" s="57"/>
      <c r="BB114" s="58"/>
      <c r="BC114" s="57"/>
      <c r="BD114" s="58"/>
      <c r="BE114" s="57"/>
      <c r="BF114" s="57"/>
      <c r="BG114" s="57"/>
      <c r="BH114" s="57"/>
      <c r="BI114" s="54"/>
      <c r="BJ114" s="53"/>
      <c r="BK114" s="53"/>
      <c r="BL114" s="59"/>
      <c r="BM114" s="59"/>
      <c r="BN114" s="59"/>
      <c r="BO114" s="59"/>
      <c r="BP114" s="60"/>
      <c r="BQ114" s="59"/>
      <c r="BR114" s="59"/>
      <c r="BS114" s="59"/>
      <c r="BT114" s="59"/>
      <c r="BU114" s="59"/>
      <c r="BV114" s="59"/>
      <c r="BW114" s="59"/>
      <c r="BX114" s="60"/>
      <c r="BY114" s="61"/>
      <c r="BZ114" s="61"/>
      <c r="CA114" s="61"/>
      <c r="CB114" s="61"/>
      <c r="CC114" s="61"/>
      <c r="CD114" s="61"/>
      <c r="CE114" s="61"/>
      <c r="CF114" s="61"/>
      <c r="CG114" s="55"/>
      <c r="CH114" s="55"/>
      <c r="CI114" s="28"/>
      <c r="CJ114" s="49"/>
      <c r="CK114" s="50" t="str">
        <f t="shared" si="1"/>
        <v>0</v>
      </c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</row>
    <row r="115" ht="15.75" customHeight="1">
      <c r="A115" s="51" t="s">
        <v>311</v>
      </c>
      <c r="B115" s="52" t="s">
        <v>312</v>
      </c>
      <c r="C115" s="53"/>
      <c r="D115" s="54"/>
      <c r="E115" s="53"/>
      <c r="F115" s="54"/>
      <c r="G115" s="53"/>
      <c r="H115" s="53"/>
      <c r="I115" s="54"/>
      <c r="J115" s="53"/>
      <c r="K115" s="53"/>
      <c r="L115" s="54"/>
      <c r="M115" s="54"/>
      <c r="N115" s="54"/>
      <c r="O115" s="53"/>
      <c r="P115" s="53"/>
      <c r="Q115" s="53"/>
      <c r="R115" s="53"/>
      <c r="S115" s="54"/>
      <c r="T115" s="53"/>
      <c r="U115" s="54"/>
      <c r="V115" s="54"/>
      <c r="W115" s="42"/>
      <c r="X115" s="42"/>
      <c r="Y115" s="42"/>
      <c r="Z115" s="55"/>
      <c r="AA115" s="42"/>
      <c r="AB115" s="42"/>
      <c r="AC115" s="42"/>
      <c r="AD115" s="42"/>
      <c r="AE115" s="42"/>
      <c r="AF115" s="55"/>
      <c r="AG115" s="55"/>
      <c r="AH115" s="42"/>
      <c r="AI115" s="20"/>
      <c r="AJ115" s="56"/>
      <c r="AK115" s="42"/>
      <c r="AL115" s="42"/>
      <c r="AM115" s="55"/>
      <c r="AN115" s="42"/>
      <c r="AO115" s="42"/>
      <c r="AP115" s="42"/>
      <c r="AQ115" s="42"/>
      <c r="AR115" s="42" t="str">
        <f>AR3*2</f>
        <v>0</v>
      </c>
      <c r="AS115" s="42"/>
      <c r="AT115" s="55"/>
      <c r="AU115" s="57"/>
      <c r="AV115" s="57"/>
      <c r="AW115" s="57"/>
      <c r="AX115" s="57"/>
      <c r="AY115" s="57"/>
      <c r="AZ115" s="57"/>
      <c r="BA115" s="57"/>
      <c r="BB115" s="58"/>
      <c r="BC115" s="57"/>
      <c r="BD115" s="58"/>
      <c r="BE115" s="57"/>
      <c r="BF115" s="57"/>
      <c r="BG115" s="57"/>
      <c r="BH115" s="57"/>
      <c r="BI115" s="54"/>
      <c r="BJ115" s="53"/>
      <c r="BK115" s="53"/>
      <c r="BL115" s="59"/>
      <c r="BM115" s="59"/>
      <c r="BN115" s="59"/>
      <c r="BO115" s="59"/>
      <c r="BP115" s="60"/>
      <c r="BQ115" s="59"/>
      <c r="BR115" s="59"/>
      <c r="BS115" s="59"/>
      <c r="BT115" s="59"/>
      <c r="BU115" s="59"/>
      <c r="BV115" s="59"/>
      <c r="BW115" s="59"/>
      <c r="BX115" s="60"/>
      <c r="BY115" s="61"/>
      <c r="BZ115" s="61"/>
      <c r="CA115" s="61"/>
      <c r="CB115" s="61"/>
      <c r="CC115" s="61"/>
      <c r="CD115" s="61"/>
      <c r="CE115" s="61"/>
      <c r="CF115" s="61"/>
      <c r="CG115" s="55"/>
      <c r="CH115" s="55"/>
      <c r="CI115" s="28"/>
      <c r="CJ115" s="49"/>
      <c r="CK115" s="50" t="str">
        <f t="shared" si="1"/>
        <v>0</v>
      </c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</row>
    <row r="116" ht="15.75" customHeight="1">
      <c r="A116" s="62" t="s">
        <v>313</v>
      </c>
      <c r="B116" s="63" t="s">
        <v>314</v>
      </c>
      <c r="C116" s="53"/>
      <c r="D116" s="54"/>
      <c r="E116" s="53"/>
      <c r="F116" s="54"/>
      <c r="G116" s="53"/>
      <c r="H116" s="53"/>
      <c r="I116" s="54"/>
      <c r="J116" s="53"/>
      <c r="K116" s="53"/>
      <c r="L116" s="54"/>
      <c r="M116" s="54" t="str">
        <f>32*M3</f>
        <v>96</v>
      </c>
      <c r="N116" s="54"/>
      <c r="O116" s="53"/>
      <c r="P116" s="53"/>
      <c r="Q116" s="53"/>
      <c r="R116" s="53"/>
      <c r="S116" s="54"/>
      <c r="T116" s="53"/>
      <c r="U116" s="54"/>
      <c r="V116" s="54"/>
      <c r="W116" s="42"/>
      <c r="X116" s="42"/>
      <c r="Y116" s="42"/>
      <c r="Z116" s="55"/>
      <c r="AA116" s="42"/>
      <c r="AB116" s="42"/>
      <c r="AC116" s="42"/>
      <c r="AD116" s="42"/>
      <c r="AE116" s="42"/>
      <c r="AF116" s="55"/>
      <c r="AG116" s="55"/>
      <c r="AH116" s="42"/>
      <c r="AI116" s="20"/>
      <c r="AJ116" s="56"/>
      <c r="AK116" s="42"/>
      <c r="AL116" s="42"/>
      <c r="AM116" s="55"/>
      <c r="AN116" s="42"/>
      <c r="AO116" s="42"/>
      <c r="AP116" s="42"/>
      <c r="AQ116" s="42" t="str">
        <f>AQ3*10</f>
        <v>0</v>
      </c>
      <c r="AR116" s="42"/>
      <c r="AS116" s="42" t="str">
        <f>AS3*10</f>
        <v>0</v>
      </c>
      <c r="AT116" s="55"/>
      <c r="AU116" s="57"/>
      <c r="AV116" s="57"/>
      <c r="AW116" s="57"/>
      <c r="AX116" s="57"/>
      <c r="AY116" s="57"/>
      <c r="AZ116" s="57"/>
      <c r="BA116" s="57"/>
      <c r="BB116" s="58"/>
      <c r="BC116" s="57"/>
      <c r="BD116" s="58"/>
      <c r="BE116" s="57"/>
      <c r="BF116" s="57"/>
      <c r="BG116" s="57"/>
      <c r="BH116" s="57"/>
      <c r="BI116" s="54"/>
      <c r="BJ116" s="53"/>
      <c r="BK116" s="53"/>
      <c r="BL116" s="59"/>
      <c r="BM116" s="59"/>
      <c r="BN116" s="59"/>
      <c r="BO116" s="59"/>
      <c r="BP116" s="60"/>
      <c r="BQ116" s="59"/>
      <c r="BR116" s="59"/>
      <c r="BS116" s="59"/>
      <c r="BT116" s="59"/>
      <c r="BU116" s="59"/>
      <c r="BV116" s="59"/>
      <c r="BW116" s="59"/>
      <c r="BX116" s="60"/>
      <c r="BY116" s="61"/>
      <c r="BZ116" s="61"/>
      <c r="CA116" s="61"/>
      <c r="CB116" s="61"/>
      <c r="CC116" s="61"/>
      <c r="CD116" s="61"/>
      <c r="CE116" s="61"/>
      <c r="CF116" s="61"/>
      <c r="CG116" s="55"/>
      <c r="CH116" s="55"/>
      <c r="CI116" s="28"/>
      <c r="CJ116" s="49"/>
      <c r="CK116" s="50" t="str">
        <f t="shared" si="1"/>
        <v>96</v>
      </c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</row>
    <row r="117" ht="15.75" customHeight="1">
      <c r="A117" s="51" t="s">
        <v>315</v>
      </c>
      <c r="B117" s="52" t="s">
        <v>316</v>
      </c>
      <c r="C117" s="53"/>
      <c r="D117" s="54"/>
      <c r="E117" s="53"/>
      <c r="F117" s="54"/>
      <c r="G117" s="53"/>
      <c r="H117" s="53"/>
      <c r="I117" s="54"/>
      <c r="J117" s="53"/>
      <c r="K117" s="53"/>
      <c r="L117" s="54"/>
      <c r="M117" s="54"/>
      <c r="N117" s="54"/>
      <c r="O117" s="53"/>
      <c r="P117" s="53"/>
      <c r="Q117" s="53"/>
      <c r="R117" s="53"/>
      <c r="S117" s="54"/>
      <c r="T117" s="53"/>
      <c r="U117" s="54"/>
      <c r="V117" s="54"/>
      <c r="W117" s="42"/>
      <c r="X117" s="42"/>
      <c r="Y117" s="42"/>
      <c r="Z117" s="55"/>
      <c r="AA117" s="42"/>
      <c r="AB117" s="42"/>
      <c r="AC117" s="42"/>
      <c r="AD117" s="42" t="str">
        <f>1400*AD3</f>
        <v>4200</v>
      </c>
      <c r="AE117" s="42"/>
      <c r="AF117" s="55"/>
      <c r="AG117" s="55"/>
      <c r="AH117" s="42"/>
      <c r="AI117" s="20"/>
      <c r="AJ117" s="56"/>
      <c r="AK117" s="42"/>
      <c r="AL117" s="42"/>
      <c r="AM117" s="55"/>
      <c r="AN117" s="42"/>
      <c r="AO117" s="42"/>
      <c r="AP117" s="42"/>
      <c r="AQ117" s="42"/>
      <c r="AR117" s="42"/>
      <c r="AS117" s="42"/>
      <c r="AT117" s="55"/>
      <c r="AU117" s="57"/>
      <c r="AV117" s="57"/>
      <c r="AW117" s="57"/>
      <c r="AX117" s="57"/>
      <c r="AY117" s="57"/>
      <c r="AZ117" s="57"/>
      <c r="BA117" s="57"/>
      <c r="BB117" s="58"/>
      <c r="BC117" s="57"/>
      <c r="BD117" s="58"/>
      <c r="BE117" s="57"/>
      <c r="BF117" s="57"/>
      <c r="BG117" s="57"/>
      <c r="BH117" s="57"/>
      <c r="BI117" s="54"/>
      <c r="BJ117" s="53"/>
      <c r="BK117" s="53"/>
      <c r="BL117" s="59"/>
      <c r="BM117" s="59"/>
      <c r="BN117" s="59"/>
      <c r="BO117" s="59"/>
      <c r="BP117" s="60"/>
      <c r="BQ117" s="59"/>
      <c r="BR117" s="59"/>
      <c r="BS117" s="59"/>
      <c r="BT117" s="59"/>
      <c r="BU117" s="59"/>
      <c r="BV117" s="59"/>
      <c r="BW117" s="59"/>
      <c r="BX117" s="60"/>
      <c r="BY117" s="61"/>
      <c r="BZ117" s="61"/>
      <c r="CA117" s="61"/>
      <c r="CB117" s="61"/>
      <c r="CC117" s="61"/>
      <c r="CD117" s="61"/>
      <c r="CE117" s="61"/>
      <c r="CF117" s="61"/>
      <c r="CG117" s="55"/>
      <c r="CH117" s="55"/>
      <c r="CI117" s="28"/>
      <c r="CJ117" s="49" t="str">
        <f>CJ3*2000</f>
        <v>240</v>
      </c>
      <c r="CK117" s="50" t="str">
        <f t="shared" si="1"/>
        <v>4440</v>
      </c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</row>
    <row r="118" ht="15.75" customHeight="1">
      <c r="A118" s="62" t="s">
        <v>317</v>
      </c>
      <c r="B118" s="63" t="s">
        <v>318</v>
      </c>
      <c r="C118" s="53"/>
      <c r="D118" s="54"/>
      <c r="E118" s="53"/>
      <c r="F118" s="54"/>
      <c r="G118" s="53"/>
      <c r="H118" s="53"/>
      <c r="I118" s="54"/>
      <c r="J118" s="53"/>
      <c r="K118" s="53"/>
      <c r="L118" s="54"/>
      <c r="M118" s="54"/>
      <c r="N118" s="54"/>
      <c r="O118" s="53"/>
      <c r="P118" s="53"/>
      <c r="Q118" s="53"/>
      <c r="R118" s="53"/>
      <c r="S118" s="54"/>
      <c r="T118" s="53"/>
      <c r="U118" s="54"/>
      <c r="V118" s="54"/>
      <c r="W118" s="42"/>
      <c r="X118" s="42"/>
      <c r="Y118" s="42"/>
      <c r="Z118" s="55"/>
      <c r="AA118" s="42"/>
      <c r="AB118" s="42"/>
      <c r="AC118" s="42"/>
      <c r="AD118" s="42"/>
      <c r="AE118" s="42"/>
      <c r="AF118" s="55"/>
      <c r="AG118" s="55"/>
      <c r="AH118" s="42"/>
      <c r="AI118" s="20"/>
      <c r="AJ118" s="56"/>
      <c r="AK118" s="42"/>
      <c r="AL118" s="42"/>
      <c r="AM118" s="55"/>
      <c r="AN118" s="42" t="str">
        <f>100*AN3</f>
        <v>100</v>
      </c>
      <c r="AO118" s="42"/>
      <c r="AP118" s="42"/>
      <c r="AQ118" s="42"/>
      <c r="AR118" s="42"/>
      <c r="AS118" s="42"/>
      <c r="AT118" s="55"/>
      <c r="AU118" s="57"/>
      <c r="AV118" s="57"/>
      <c r="AW118" s="57"/>
      <c r="AX118" s="57"/>
      <c r="AY118" s="57"/>
      <c r="AZ118" s="57"/>
      <c r="BA118" s="57"/>
      <c r="BB118" s="58"/>
      <c r="BC118" s="57"/>
      <c r="BD118" s="58"/>
      <c r="BE118" s="57"/>
      <c r="BF118" s="57"/>
      <c r="BG118" s="57"/>
      <c r="BH118" s="57"/>
      <c r="BI118" s="54"/>
      <c r="BJ118" s="53"/>
      <c r="BK118" s="53"/>
      <c r="BL118" s="59"/>
      <c r="BM118" s="59"/>
      <c r="BN118" s="59"/>
      <c r="BO118" s="59"/>
      <c r="BP118" s="60"/>
      <c r="BQ118" s="59"/>
      <c r="BR118" s="59"/>
      <c r="BS118" s="59"/>
      <c r="BT118" s="59"/>
      <c r="BU118" s="59"/>
      <c r="BV118" s="59"/>
      <c r="BW118" s="59"/>
      <c r="BX118" s="60"/>
      <c r="BY118" s="61"/>
      <c r="BZ118" s="61"/>
      <c r="CA118" s="61"/>
      <c r="CB118" s="61"/>
      <c r="CC118" s="61"/>
      <c r="CD118" s="61" t="str">
        <f>CD3*0.574</f>
        <v>0</v>
      </c>
      <c r="CE118" s="61"/>
      <c r="CF118" s="61"/>
      <c r="CG118" s="55"/>
      <c r="CH118" s="55"/>
      <c r="CI118" s="28" t="str">
        <f>CI3*232</f>
        <v>0</v>
      </c>
      <c r="CJ118" s="49"/>
      <c r="CK118" s="50" t="str">
        <f t="shared" si="1"/>
        <v>100</v>
      </c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</row>
    <row r="119" ht="15.75" customHeight="1">
      <c r="A119" s="51" t="s">
        <v>319</v>
      </c>
      <c r="B119" s="52" t="s">
        <v>320</v>
      </c>
      <c r="C119" s="53"/>
      <c r="D119" s="54"/>
      <c r="E119" s="53"/>
      <c r="F119" s="54"/>
      <c r="G119" s="53"/>
      <c r="H119" s="53"/>
      <c r="I119" s="54"/>
      <c r="J119" s="53"/>
      <c r="K119" s="53"/>
      <c r="L119" s="54"/>
      <c r="M119" s="54"/>
      <c r="N119" s="54"/>
      <c r="O119" s="53"/>
      <c r="P119" s="53"/>
      <c r="Q119" s="53"/>
      <c r="R119" s="53" t="str">
        <f>R3*24</f>
        <v>0</v>
      </c>
      <c r="S119" s="54"/>
      <c r="T119" s="53"/>
      <c r="U119" s="54"/>
      <c r="V119" s="54"/>
      <c r="W119" s="42"/>
      <c r="X119" s="42"/>
      <c r="Y119" s="42"/>
      <c r="Z119" s="55"/>
      <c r="AA119" s="42"/>
      <c r="AB119" s="42"/>
      <c r="AC119" s="42"/>
      <c r="AD119" s="42"/>
      <c r="AE119" s="42"/>
      <c r="AF119" s="55"/>
      <c r="AG119" s="55"/>
      <c r="AH119" s="42"/>
      <c r="AI119" s="20"/>
      <c r="AJ119" s="56"/>
      <c r="AK119" s="42"/>
      <c r="AL119" s="42"/>
      <c r="AM119" s="55"/>
      <c r="AN119" s="42"/>
      <c r="AO119" s="42"/>
      <c r="AP119" s="42"/>
      <c r="AQ119" s="42"/>
      <c r="AR119" s="42"/>
      <c r="AS119" s="42"/>
      <c r="AT119" s="55"/>
      <c r="AU119" s="57"/>
      <c r="AV119" s="57"/>
      <c r="AW119" s="57"/>
      <c r="AX119" s="57"/>
      <c r="AY119" s="57"/>
      <c r="AZ119" s="57"/>
      <c r="BA119" s="57"/>
      <c r="BB119" s="58"/>
      <c r="BC119" s="57"/>
      <c r="BD119" s="58"/>
      <c r="BE119" s="57"/>
      <c r="BF119" s="57"/>
      <c r="BG119" s="57"/>
      <c r="BH119" s="57"/>
      <c r="BI119" s="54"/>
      <c r="BJ119" s="53"/>
      <c r="BK119" s="53"/>
      <c r="BL119" s="59"/>
      <c r="BM119" s="59"/>
      <c r="BN119" s="59"/>
      <c r="BO119" s="59"/>
      <c r="BP119" s="60"/>
      <c r="BQ119" s="59"/>
      <c r="BR119" s="59"/>
      <c r="BS119" s="59"/>
      <c r="BT119" s="59"/>
      <c r="BU119" s="59"/>
      <c r="BV119" s="59" t="str">
        <f>BV3*17.2</f>
        <v>17.2</v>
      </c>
      <c r="BW119" s="59"/>
      <c r="BX119" s="60"/>
      <c r="BY119" s="61"/>
      <c r="BZ119" s="61"/>
      <c r="CA119" s="61"/>
      <c r="CB119" s="61"/>
      <c r="CC119" s="61"/>
      <c r="CD119" s="61"/>
      <c r="CE119" s="61"/>
      <c r="CF119" s="61"/>
      <c r="CG119" s="55"/>
      <c r="CH119" s="55"/>
      <c r="CI119" s="28"/>
      <c r="CJ119" s="49"/>
      <c r="CK119" s="50" t="str">
        <f t="shared" si="1"/>
        <v>17.2</v>
      </c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</row>
    <row r="120" ht="15.75" customHeight="1">
      <c r="A120" s="62" t="s">
        <v>321</v>
      </c>
      <c r="B120" s="63" t="s">
        <v>322</v>
      </c>
      <c r="C120" s="53"/>
      <c r="D120" s="54"/>
      <c r="E120" s="53"/>
      <c r="F120" s="54"/>
      <c r="G120" s="53"/>
      <c r="H120" s="53"/>
      <c r="I120" s="54"/>
      <c r="J120" s="53"/>
      <c r="K120" s="53"/>
      <c r="L120" s="54"/>
      <c r="M120" s="54" t="str">
        <f>917*M3</f>
        <v>2751</v>
      </c>
      <c r="N120" s="54"/>
      <c r="O120" s="53"/>
      <c r="P120" s="53"/>
      <c r="Q120" s="53"/>
      <c r="R120" s="53"/>
      <c r="S120" s="54"/>
      <c r="T120" s="53"/>
      <c r="U120" s="54" t="str">
        <f>20.4*U3</f>
        <v>0</v>
      </c>
      <c r="V120" s="54"/>
      <c r="W120" s="42"/>
      <c r="X120" s="42" t="str">
        <f>135*X3</f>
        <v>135</v>
      </c>
      <c r="Y120" s="42"/>
      <c r="Z120" s="55"/>
      <c r="AA120" s="42"/>
      <c r="AB120" s="42"/>
      <c r="AC120" s="42"/>
      <c r="AD120" s="42"/>
      <c r="AE120" s="42"/>
      <c r="AF120" s="55"/>
      <c r="AG120" s="55"/>
      <c r="AH120" s="42"/>
      <c r="AI120" s="20"/>
      <c r="AJ120" s="56"/>
      <c r="AK120" s="42"/>
      <c r="AL120" s="42" t="str">
        <f>AL3*50</f>
        <v>0</v>
      </c>
      <c r="AM120" s="55"/>
      <c r="AN120" s="42"/>
      <c r="AO120" s="42"/>
      <c r="AP120" s="42" t="str">
        <f>AP3*11.88</f>
        <v>0</v>
      </c>
      <c r="AQ120" s="42"/>
      <c r="AR120" s="42"/>
      <c r="AS120" s="42"/>
      <c r="AT120" s="55"/>
      <c r="AU120" s="57"/>
      <c r="AV120" s="57"/>
      <c r="AW120" s="57"/>
      <c r="AX120" s="57"/>
      <c r="AY120" s="57"/>
      <c r="AZ120" s="57"/>
      <c r="BA120" s="57"/>
      <c r="BB120" s="58"/>
      <c r="BC120" s="57"/>
      <c r="BD120" s="58"/>
      <c r="BE120" s="57"/>
      <c r="BF120" s="57"/>
      <c r="BG120" s="57"/>
      <c r="BH120" s="57"/>
      <c r="BI120" s="54"/>
      <c r="BJ120" s="53"/>
      <c r="BK120" s="53"/>
      <c r="BL120" s="59"/>
      <c r="BM120" s="59"/>
      <c r="BN120" s="59"/>
      <c r="BO120" s="59"/>
      <c r="BP120" s="60"/>
      <c r="BQ120" s="59"/>
      <c r="BR120" s="59"/>
      <c r="BS120" s="59"/>
      <c r="BT120" s="59"/>
      <c r="BU120" s="59"/>
      <c r="BV120" s="59"/>
      <c r="BW120" s="59"/>
      <c r="BX120" s="60"/>
      <c r="BY120" s="61"/>
      <c r="BZ120" s="61"/>
      <c r="CA120" s="61"/>
      <c r="CB120" s="61"/>
      <c r="CC120" s="61"/>
      <c r="CD120" s="61"/>
      <c r="CE120" s="61"/>
      <c r="CF120" s="61"/>
      <c r="CG120" s="55"/>
      <c r="CH120" s="55"/>
      <c r="CI120" s="28"/>
      <c r="CJ120" s="49"/>
      <c r="CK120" s="50" t="str">
        <f t="shared" si="1"/>
        <v>2886</v>
      </c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</row>
    <row r="121" ht="15.75" customHeight="1">
      <c r="A121" s="51" t="s">
        <v>323</v>
      </c>
      <c r="B121" s="52" t="s">
        <v>324</v>
      </c>
      <c r="C121" s="53" t="str">
        <f>C3*612</f>
        <v>0</v>
      </c>
      <c r="D121" s="54"/>
      <c r="E121" s="53" t="str">
        <f>E3*20.4</f>
        <v>102</v>
      </c>
      <c r="F121" s="54"/>
      <c r="G121" s="53"/>
      <c r="H121" s="53" t="str">
        <f>H3*6</f>
        <v>6</v>
      </c>
      <c r="I121" s="54" t="str">
        <f>408*I3</f>
        <v>1632</v>
      </c>
      <c r="J121" s="53"/>
      <c r="K121" s="53"/>
      <c r="L121" s="54"/>
      <c r="M121" s="54"/>
      <c r="N121" s="54"/>
      <c r="O121" s="53"/>
      <c r="P121" s="53" t="str">
        <f>P3*61</f>
        <v>61</v>
      </c>
      <c r="Q121" s="53" t="str">
        <f>Q3*5.2</f>
        <v>0</v>
      </c>
      <c r="R121" s="53" t="str">
        <f>R3*114.5</f>
        <v>0</v>
      </c>
      <c r="S121" s="54"/>
      <c r="T121" s="53"/>
      <c r="U121" s="54"/>
      <c r="V121" s="54" t="str">
        <f>V3*20.4</f>
        <v>20.4</v>
      </c>
      <c r="W121" s="42" t="str">
        <f>W3*720</f>
        <v>0</v>
      </c>
      <c r="X121" s="42"/>
      <c r="Y121" s="42"/>
      <c r="Z121" s="55"/>
      <c r="AA121" s="42"/>
      <c r="AB121" s="42"/>
      <c r="AC121" s="42" t="str">
        <f>AC3*80</f>
        <v>0</v>
      </c>
      <c r="AD121" s="42"/>
      <c r="AE121" s="42"/>
      <c r="AF121" s="55"/>
      <c r="AG121" s="55"/>
      <c r="AH121" s="42"/>
      <c r="AI121" s="20"/>
      <c r="AJ121" s="56"/>
      <c r="AK121" s="42"/>
      <c r="AL121" s="42"/>
      <c r="AM121" s="55" t="str">
        <f>AM3*106</f>
        <v>0</v>
      </c>
      <c r="AN121" s="42"/>
      <c r="AO121" s="42"/>
      <c r="AP121" s="42"/>
      <c r="AQ121" s="42"/>
      <c r="AR121" s="42"/>
      <c r="AS121" s="42"/>
      <c r="AT121" s="55"/>
      <c r="AU121" s="57"/>
      <c r="AV121" s="57"/>
      <c r="AW121" s="57"/>
      <c r="AX121" s="57"/>
      <c r="AY121" s="57"/>
      <c r="AZ121" s="57"/>
      <c r="BA121" s="57"/>
      <c r="BB121" s="58"/>
      <c r="BC121" s="57"/>
      <c r="BD121" s="58"/>
      <c r="BE121" s="57"/>
      <c r="BF121" s="57"/>
      <c r="BG121" s="57"/>
      <c r="BH121" s="57"/>
      <c r="BI121" s="54"/>
      <c r="BJ121" s="53"/>
      <c r="BK121" s="53"/>
      <c r="BL121" s="59"/>
      <c r="BM121" s="59"/>
      <c r="BN121" s="59" t="str">
        <f>BN3*7.5</f>
        <v>0</v>
      </c>
      <c r="BO121" s="59" t="str">
        <f>BO3*29.7</f>
        <v>0</v>
      </c>
      <c r="BP121" s="60"/>
      <c r="BQ121" s="59"/>
      <c r="BR121" s="59"/>
      <c r="BS121" s="59"/>
      <c r="BT121" s="59"/>
      <c r="BU121" s="59"/>
      <c r="BV121" s="59"/>
      <c r="BW121" s="59"/>
      <c r="BX121" s="60"/>
      <c r="BY121" s="61"/>
      <c r="BZ121" s="61"/>
      <c r="CA121" s="61"/>
      <c r="CB121" s="61" t="str">
        <f>CB3*106</f>
        <v>106</v>
      </c>
      <c r="CC121" s="61" t="str">
        <f>CC3*4.16</f>
        <v>0</v>
      </c>
      <c r="CD121" s="61"/>
      <c r="CE121" s="61" t="str">
        <f>CE3*11</f>
        <v>0</v>
      </c>
      <c r="CF121" s="61"/>
      <c r="CG121" s="55" t="str">
        <f>CG3*35.5</f>
        <v>35.5</v>
      </c>
      <c r="CH121" s="55"/>
      <c r="CI121" s="28"/>
      <c r="CJ121" s="49"/>
      <c r="CK121" s="50" t="str">
        <f t="shared" si="1"/>
        <v>1962.9</v>
      </c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</row>
    <row r="122" ht="15.75" customHeight="1">
      <c r="A122" s="62" t="s">
        <v>325</v>
      </c>
      <c r="B122" s="63" t="s">
        <v>326</v>
      </c>
      <c r="C122" s="53"/>
      <c r="D122" s="54"/>
      <c r="E122" s="53"/>
      <c r="F122" s="54"/>
      <c r="G122" s="53"/>
      <c r="H122" s="53"/>
      <c r="I122" s="54"/>
      <c r="J122" s="53"/>
      <c r="K122" s="53"/>
      <c r="L122" s="54"/>
      <c r="M122" s="54"/>
      <c r="N122" s="54"/>
      <c r="O122" s="53"/>
      <c r="P122" s="53"/>
      <c r="Q122" s="53"/>
      <c r="R122" s="53"/>
      <c r="S122" s="54"/>
      <c r="T122" s="53"/>
      <c r="U122" s="54"/>
      <c r="V122" s="54"/>
      <c r="W122" s="42"/>
      <c r="X122" s="42"/>
      <c r="Y122" s="42"/>
      <c r="Z122" s="55"/>
      <c r="AA122" s="42"/>
      <c r="AB122" s="42"/>
      <c r="AC122" s="42" t="str">
        <f>AC3*1910</f>
        <v>0</v>
      </c>
      <c r="AD122" s="42"/>
      <c r="AE122" s="42"/>
      <c r="AF122" s="55"/>
      <c r="AG122" s="55"/>
      <c r="AH122" s="42"/>
      <c r="AI122" s="20"/>
      <c r="AJ122" s="56"/>
      <c r="AK122" s="42"/>
      <c r="AL122" s="42"/>
      <c r="AM122" s="55"/>
      <c r="AN122" s="42"/>
      <c r="AO122" s="42"/>
      <c r="AP122" s="42"/>
      <c r="AQ122" s="42"/>
      <c r="AR122" s="42"/>
      <c r="AS122" s="42"/>
      <c r="AT122" s="55"/>
      <c r="AU122" s="57"/>
      <c r="AV122" s="57"/>
      <c r="AW122" s="57"/>
      <c r="AX122" s="57"/>
      <c r="AY122" s="57"/>
      <c r="AZ122" s="57"/>
      <c r="BA122" s="57"/>
      <c r="BB122" s="58"/>
      <c r="BC122" s="57"/>
      <c r="BD122" s="58"/>
      <c r="BE122" s="57"/>
      <c r="BF122" s="57"/>
      <c r="BG122" s="57"/>
      <c r="BH122" s="57"/>
      <c r="BI122" s="54"/>
      <c r="BJ122" s="53"/>
      <c r="BK122" s="53"/>
      <c r="BL122" s="59"/>
      <c r="BM122" s="59"/>
      <c r="BN122" s="59"/>
      <c r="BO122" s="59"/>
      <c r="BP122" s="60"/>
      <c r="BQ122" s="59"/>
      <c r="BR122" s="59"/>
      <c r="BS122" s="59"/>
      <c r="BT122" s="59"/>
      <c r="BU122" s="59"/>
      <c r="BV122" s="59"/>
      <c r="BW122" s="59"/>
      <c r="BX122" s="60"/>
      <c r="BY122" s="61"/>
      <c r="BZ122" s="61"/>
      <c r="CA122" s="61"/>
      <c r="CB122" s="61"/>
      <c r="CC122" s="61"/>
      <c r="CD122" s="61"/>
      <c r="CE122" s="61"/>
      <c r="CF122" s="61"/>
      <c r="CG122" s="55"/>
      <c r="CH122" s="55"/>
      <c r="CI122" s="28" t="str">
        <f>CI3*438</f>
        <v>0</v>
      </c>
      <c r="CJ122" s="49"/>
      <c r="CK122" s="50" t="str">
        <f t="shared" si="1"/>
        <v>0</v>
      </c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</row>
    <row r="123" ht="15.75" customHeight="1">
      <c r="A123" s="51" t="s">
        <v>327</v>
      </c>
      <c r="B123" s="52" t="s">
        <v>328</v>
      </c>
      <c r="C123" s="53"/>
      <c r="D123" s="54"/>
      <c r="E123" s="53"/>
      <c r="F123" s="54"/>
      <c r="G123" s="53"/>
      <c r="H123" s="53"/>
      <c r="I123" s="54"/>
      <c r="J123" s="53"/>
      <c r="K123" s="53"/>
      <c r="L123" s="54"/>
      <c r="M123" s="54"/>
      <c r="N123" s="54"/>
      <c r="O123" s="53"/>
      <c r="P123" s="53"/>
      <c r="Q123" s="53"/>
      <c r="R123" s="53"/>
      <c r="S123" s="54"/>
      <c r="T123" s="53"/>
      <c r="U123" s="54"/>
      <c r="V123" s="54"/>
      <c r="W123" s="42"/>
      <c r="X123" s="42"/>
      <c r="Y123" s="42"/>
      <c r="Z123" s="55" t="str">
        <f>Z3*7.5</f>
        <v>0</v>
      </c>
      <c r="AA123" s="42"/>
      <c r="AB123" s="42"/>
      <c r="AC123" s="42"/>
      <c r="AD123" s="42"/>
      <c r="AE123" s="42"/>
      <c r="AF123" s="55"/>
      <c r="AG123" s="55"/>
      <c r="AH123" s="42"/>
      <c r="AI123" s="20"/>
      <c r="AJ123" s="56"/>
      <c r="AK123" s="42"/>
      <c r="AL123" s="42"/>
      <c r="AM123" s="55"/>
      <c r="AN123" s="42"/>
      <c r="AO123" s="42"/>
      <c r="AP123" s="42"/>
      <c r="AQ123" s="42"/>
      <c r="AR123" s="42"/>
      <c r="AS123" s="42"/>
      <c r="AT123" s="55"/>
      <c r="AU123" s="57"/>
      <c r="AV123" s="57"/>
      <c r="AW123" s="57"/>
      <c r="AX123" s="57"/>
      <c r="AY123" s="57"/>
      <c r="AZ123" s="57"/>
      <c r="BA123" s="57"/>
      <c r="BB123" s="58"/>
      <c r="BC123" s="57"/>
      <c r="BD123" s="58"/>
      <c r="BE123" s="57"/>
      <c r="BF123" s="57"/>
      <c r="BG123" s="57"/>
      <c r="BH123" s="57"/>
      <c r="BI123" s="54"/>
      <c r="BJ123" s="53"/>
      <c r="BK123" s="53"/>
      <c r="BL123" s="59"/>
      <c r="BM123" s="59"/>
      <c r="BN123" s="59" t="str">
        <f>BN3*1.8</f>
        <v>0</v>
      </c>
      <c r="BO123" s="59" t="str">
        <f>BO3*7.2</f>
        <v>0</v>
      </c>
      <c r="BP123" s="60"/>
      <c r="BQ123" s="59"/>
      <c r="BR123" s="59"/>
      <c r="BS123" s="59"/>
      <c r="BT123" s="59"/>
      <c r="BU123" s="59"/>
      <c r="BV123" s="59"/>
      <c r="BW123" s="59"/>
      <c r="BX123" s="60"/>
      <c r="BY123" s="61"/>
      <c r="BZ123" s="61"/>
      <c r="CA123" s="61"/>
      <c r="CB123" s="61"/>
      <c r="CC123" s="61"/>
      <c r="CD123" s="61"/>
      <c r="CE123" s="61" t="str">
        <f>CE3*99</f>
        <v>0</v>
      </c>
      <c r="CF123" s="61"/>
      <c r="CG123" s="55"/>
      <c r="CH123" s="55"/>
      <c r="CI123" s="28"/>
      <c r="CJ123" s="49"/>
      <c r="CK123" s="50" t="str">
        <f t="shared" si="1"/>
        <v>0</v>
      </c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</row>
    <row r="124" ht="15.75" customHeight="1">
      <c r="A124" s="62" t="s">
        <v>329</v>
      </c>
      <c r="B124" s="63" t="s">
        <v>330</v>
      </c>
      <c r="C124" s="53"/>
      <c r="D124" s="54"/>
      <c r="E124" s="53"/>
      <c r="F124" s="54"/>
      <c r="G124" s="53"/>
      <c r="H124" s="53"/>
      <c r="I124" s="54"/>
      <c r="J124" s="53"/>
      <c r="K124" s="53"/>
      <c r="L124" s="54"/>
      <c r="M124" s="54"/>
      <c r="N124" s="54"/>
      <c r="O124" s="53"/>
      <c r="P124" s="53"/>
      <c r="Q124" s="53"/>
      <c r="R124" s="53"/>
      <c r="S124" s="54"/>
      <c r="T124" s="53"/>
      <c r="U124" s="54"/>
      <c r="V124" s="54"/>
      <c r="W124" s="42"/>
      <c r="X124" s="42"/>
      <c r="Y124" s="42" t="str">
        <f>Y3*50</f>
        <v>0</v>
      </c>
      <c r="Z124" s="55"/>
      <c r="AA124" s="42"/>
      <c r="AB124" s="42"/>
      <c r="AC124" s="42"/>
      <c r="AD124" s="42"/>
      <c r="AE124" s="42"/>
      <c r="AF124" s="55"/>
      <c r="AG124" s="55"/>
      <c r="AH124" s="42"/>
      <c r="AI124" s="20"/>
      <c r="AJ124" s="56" t="str">
        <f>150*AJ3</f>
        <v>150</v>
      </c>
      <c r="AK124" s="42"/>
      <c r="AL124" s="42"/>
      <c r="AM124" s="55"/>
      <c r="AN124" s="42"/>
      <c r="AO124" s="42"/>
      <c r="AP124" s="42"/>
      <c r="AQ124" s="42"/>
      <c r="AR124" s="42"/>
      <c r="AS124" s="42"/>
      <c r="AT124" s="55"/>
      <c r="AU124" s="57"/>
      <c r="AV124" s="57"/>
      <c r="AW124" s="57"/>
      <c r="AX124" s="57"/>
      <c r="AY124" s="57"/>
      <c r="AZ124" s="57"/>
      <c r="BA124" s="57"/>
      <c r="BB124" s="58"/>
      <c r="BC124" s="57"/>
      <c r="BD124" s="58"/>
      <c r="BE124" s="57"/>
      <c r="BF124" s="57"/>
      <c r="BG124" s="57"/>
      <c r="BH124" s="57"/>
      <c r="BI124" s="54"/>
      <c r="BJ124" s="53"/>
      <c r="BK124" s="53"/>
      <c r="BL124" s="59"/>
      <c r="BM124" s="59"/>
      <c r="BN124" s="59"/>
      <c r="BO124" s="59"/>
      <c r="BP124" s="60"/>
      <c r="BQ124" s="59"/>
      <c r="BR124" s="59"/>
      <c r="BS124" s="59"/>
      <c r="BT124" s="59"/>
      <c r="BU124" s="59"/>
      <c r="BV124" s="59"/>
      <c r="BW124" s="59"/>
      <c r="BX124" s="60"/>
      <c r="BY124" s="61"/>
      <c r="BZ124" s="61"/>
      <c r="CA124" s="61"/>
      <c r="CB124" s="61"/>
      <c r="CC124" s="61"/>
      <c r="CD124" s="61"/>
      <c r="CE124" s="61"/>
      <c r="CF124" s="61"/>
      <c r="CG124" s="55"/>
      <c r="CH124" s="55"/>
      <c r="CI124" s="28"/>
      <c r="CJ124" s="49"/>
      <c r="CK124" s="50" t="str">
        <f t="shared" si="1"/>
        <v>150</v>
      </c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</row>
    <row r="125" ht="15.75" customHeight="1">
      <c r="A125" s="51" t="s">
        <v>331</v>
      </c>
      <c r="B125" s="52" t="s">
        <v>332</v>
      </c>
      <c r="C125" s="53"/>
      <c r="D125" s="54"/>
      <c r="E125" s="53"/>
      <c r="F125" s="54" t="str">
        <f>520*F3</f>
        <v>1040</v>
      </c>
      <c r="G125" s="53"/>
      <c r="H125" s="53"/>
      <c r="I125" s="54"/>
      <c r="J125" s="53" t="str">
        <f>J3*20</f>
        <v>0</v>
      </c>
      <c r="K125" s="53"/>
      <c r="L125" s="54"/>
      <c r="M125" s="54"/>
      <c r="N125" s="54"/>
      <c r="O125" s="53"/>
      <c r="P125" s="53"/>
      <c r="Q125" s="53"/>
      <c r="R125" s="53"/>
      <c r="S125" s="54" t="str">
        <f>520*S3</f>
        <v>0</v>
      </c>
      <c r="T125" s="53"/>
      <c r="U125" s="54"/>
      <c r="V125" s="54"/>
      <c r="W125" s="42"/>
      <c r="X125" s="42"/>
      <c r="Y125" s="42"/>
      <c r="Z125" s="55"/>
      <c r="AA125" s="42"/>
      <c r="AB125" s="42"/>
      <c r="AC125" s="42"/>
      <c r="AD125" s="42"/>
      <c r="AE125" s="42"/>
      <c r="AF125" s="55" t="str">
        <f>AF3*100</f>
        <v>0</v>
      </c>
      <c r="AG125" s="55"/>
      <c r="AH125" s="42"/>
      <c r="AI125" s="20"/>
      <c r="AJ125" s="56"/>
      <c r="AK125" s="42"/>
      <c r="AL125" s="42"/>
      <c r="AM125" s="55"/>
      <c r="AN125" s="42"/>
      <c r="AO125" s="42"/>
      <c r="AP125" s="42"/>
      <c r="AQ125" s="42"/>
      <c r="AR125" s="42"/>
      <c r="AS125" s="42"/>
      <c r="AT125" s="55"/>
      <c r="AU125" s="57"/>
      <c r="AV125" s="57"/>
      <c r="AW125" s="57"/>
      <c r="AX125" s="57"/>
      <c r="AY125" s="57"/>
      <c r="AZ125" s="57"/>
      <c r="BA125" s="57"/>
      <c r="BB125" s="58"/>
      <c r="BC125" s="57"/>
      <c r="BD125" s="58"/>
      <c r="BE125" s="57"/>
      <c r="BF125" s="57"/>
      <c r="BG125" s="57"/>
      <c r="BH125" s="57"/>
      <c r="BI125" s="54"/>
      <c r="BJ125" s="53"/>
      <c r="BK125" s="53"/>
      <c r="BL125" s="59" t="str">
        <f>BL3*20</f>
        <v>0</v>
      </c>
      <c r="BM125" s="59" t="str">
        <f>BM3*80</f>
        <v>0</v>
      </c>
      <c r="BN125" s="59"/>
      <c r="BO125" s="59"/>
      <c r="BP125" s="60"/>
      <c r="BQ125" s="59"/>
      <c r="BR125" s="59"/>
      <c r="BS125" s="59"/>
      <c r="BT125" s="59"/>
      <c r="BU125" s="59"/>
      <c r="BV125" s="59"/>
      <c r="BW125" s="59" t="str">
        <f>BW3*100</f>
        <v>0</v>
      </c>
      <c r="BX125" s="60"/>
      <c r="BY125" s="61"/>
      <c r="BZ125" s="61"/>
      <c r="CA125" s="61" t="str">
        <f>400*CA3</f>
        <v>400</v>
      </c>
      <c r="CB125" s="61"/>
      <c r="CC125" s="61"/>
      <c r="CD125" s="61"/>
      <c r="CE125" s="61"/>
      <c r="CF125" s="61"/>
      <c r="CG125" s="55"/>
      <c r="CH125" s="55"/>
      <c r="CI125" s="28"/>
      <c r="CJ125" s="49"/>
      <c r="CK125" s="50" t="str">
        <f t="shared" si="1"/>
        <v>1440</v>
      </c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</row>
    <row r="126" ht="15.75" customHeight="1">
      <c r="A126" s="62" t="s">
        <v>333</v>
      </c>
      <c r="B126" s="63" t="s">
        <v>334</v>
      </c>
      <c r="C126" s="53"/>
      <c r="D126" s="54"/>
      <c r="E126" s="53"/>
      <c r="F126" s="54"/>
      <c r="G126" s="53"/>
      <c r="H126" s="53"/>
      <c r="I126" s="54"/>
      <c r="J126" s="53"/>
      <c r="K126" s="53"/>
      <c r="L126" s="54"/>
      <c r="M126" s="54"/>
      <c r="N126" s="54"/>
      <c r="O126" s="53"/>
      <c r="P126" s="53"/>
      <c r="Q126" s="53"/>
      <c r="R126" s="53"/>
      <c r="S126" s="54"/>
      <c r="T126" s="53"/>
      <c r="U126" s="54"/>
      <c r="V126" s="54"/>
      <c r="W126" s="42"/>
      <c r="X126" s="42"/>
      <c r="Y126" s="42"/>
      <c r="Z126" s="55"/>
      <c r="AA126" s="42"/>
      <c r="AB126" s="42"/>
      <c r="AC126" s="42"/>
      <c r="AD126" s="42"/>
      <c r="AE126" s="42"/>
      <c r="AF126" s="55"/>
      <c r="AG126" s="55"/>
      <c r="AH126" s="42"/>
      <c r="AI126" s="20"/>
      <c r="AJ126" s="56"/>
      <c r="AK126" s="42"/>
      <c r="AL126" s="42"/>
      <c r="AM126" s="55"/>
      <c r="AN126" s="42"/>
      <c r="AO126" s="42"/>
      <c r="AP126" s="42"/>
      <c r="AQ126" s="42"/>
      <c r="AR126" s="42"/>
      <c r="AS126" s="42"/>
      <c r="AT126" s="55"/>
      <c r="AU126" s="57"/>
      <c r="AV126" s="57"/>
      <c r="AW126" s="57"/>
      <c r="AX126" s="57"/>
      <c r="AY126" s="57"/>
      <c r="AZ126" s="57"/>
      <c r="BA126" s="57"/>
      <c r="BB126" s="58"/>
      <c r="BC126" s="57"/>
      <c r="BD126" s="58"/>
      <c r="BE126" s="57"/>
      <c r="BF126" s="57"/>
      <c r="BG126" s="57"/>
      <c r="BH126" s="57"/>
      <c r="BI126" s="54"/>
      <c r="BJ126" s="53"/>
      <c r="BK126" s="53"/>
      <c r="BL126" s="59"/>
      <c r="BM126" s="59"/>
      <c r="BN126" s="59"/>
      <c r="BO126" s="59"/>
      <c r="BP126" s="60"/>
      <c r="BQ126" s="59"/>
      <c r="BR126" s="59"/>
      <c r="BS126" s="59"/>
      <c r="BT126" s="59"/>
      <c r="BU126" s="59"/>
      <c r="BV126" s="59"/>
      <c r="BW126" s="59"/>
      <c r="BX126" s="60"/>
      <c r="BY126" s="61"/>
      <c r="BZ126" s="61"/>
      <c r="CA126" s="61"/>
      <c r="CB126" s="61"/>
      <c r="CC126" s="61"/>
      <c r="CD126" s="61"/>
      <c r="CE126" s="61"/>
      <c r="CF126" s="61"/>
      <c r="CG126" s="55"/>
      <c r="CH126" s="55"/>
      <c r="CI126" s="28"/>
      <c r="CJ126" s="49"/>
      <c r="CK126" s="50" t="str">
        <f t="shared" si="1"/>
        <v>0</v>
      </c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</row>
    <row r="127" ht="15.75" customHeight="1">
      <c r="A127" s="51" t="s">
        <v>335</v>
      </c>
      <c r="B127" s="52" t="s">
        <v>336</v>
      </c>
      <c r="C127" s="53"/>
      <c r="D127" s="54"/>
      <c r="E127" s="53"/>
      <c r="F127" s="54"/>
      <c r="G127" s="53"/>
      <c r="H127" s="53"/>
      <c r="I127" s="54"/>
      <c r="J127" s="53"/>
      <c r="K127" s="53"/>
      <c r="L127" s="54"/>
      <c r="M127" s="54"/>
      <c r="N127" s="54"/>
      <c r="O127" s="53"/>
      <c r="P127" s="53" t="str">
        <f>P3*20</f>
        <v>20</v>
      </c>
      <c r="Q127" s="53"/>
      <c r="R127" s="53"/>
      <c r="S127" s="54"/>
      <c r="T127" s="53"/>
      <c r="U127" s="54"/>
      <c r="V127" s="54"/>
      <c r="W127" s="42"/>
      <c r="X127" s="42"/>
      <c r="Y127" s="42"/>
      <c r="Z127" s="55"/>
      <c r="AA127" s="42"/>
      <c r="AB127" s="42"/>
      <c r="AC127" s="42"/>
      <c r="AD127" s="42"/>
      <c r="AE127" s="42"/>
      <c r="AF127" s="55"/>
      <c r="AG127" s="55"/>
      <c r="AH127" s="42"/>
      <c r="AI127" s="20"/>
      <c r="AJ127" s="56"/>
      <c r="AK127" s="42"/>
      <c r="AL127" s="42"/>
      <c r="AM127" s="55"/>
      <c r="AN127" s="42"/>
      <c r="AO127" s="42"/>
      <c r="AP127" s="42"/>
      <c r="AQ127" s="42"/>
      <c r="AR127" s="42"/>
      <c r="AS127" s="42"/>
      <c r="AT127" s="55"/>
      <c r="AU127" s="57"/>
      <c r="AV127" s="57"/>
      <c r="AW127" s="57"/>
      <c r="AX127" s="57"/>
      <c r="AY127" s="57"/>
      <c r="AZ127" s="57"/>
      <c r="BA127" s="57"/>
      <c r="BB127" s="58"/>
      <c r="BC127" s="57"/>
      <c r="BD127" s="58"/>
      <c r="BE127" s="57"/>
      <c r="BF127" s="57"/>
      <c r="BG127" s="57"/>
      <c r="BH127" s="57"/>
      <c r="BI127" s="54"/>
      <c r="BJ127" s="53"/>
      <c r="BK127" s="53"/>
      <c r="BL127" s="59"/>
      <c r="BM127" s="59"/>
      <c r="BN127" s="59"/>
      <c r="BO127" s="59"/>
      <c r="BP127" s="60"/>
      <c r="BQ127" s="59"/>
      <c r="BR127" s="59"/>
      <c r="BS127" s="59"/>
      <c r="BT127" s="59"/>
      <c r="BU127" s="59"/>
      <c r="BV127" s="59"/>
      <c r="BW127" s="59"/>
      <c r="BX127" s="60"/>
      <c r="BY127" s="61"/>
      <c r="BZ127" s="61"/>
      <c r="CA127" s="61"/>
      <c r="CB127" s="61"/>
      <c r="CC127" s="61"/>
      <c r="CD127" s="61"/>
      <c r="CE127" s="61"/>
      <c r="CF127" s="61"/>
      <c r="CG127" s="55" t="str">
        <f>CG3*20</f>
        <v>20</v>
      </c>
      <c r="CH127" s="55" t="str">
        <f>CH3*4</f>
        <v>12</v>
      </c>
      <c r="CI127" s="28"/>
      <c r="CJ127" s="49"/>
      <c r="CK127" s="50" t="str">
        <f t="shared" si="1"/>
        <v>52</v>
      </c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</row>
    <row r="128" ht="15.75" customHeight="1">
      <c r="A128" s="62" t="s">
        <v>337</v>
      </c>
      <c r="B128" s="63" t="s">
        <v>338</v>
      </c>
      <c r="C128" s="53"/>
      <c r="D128" s="54"/>
      <c r="E128" s="53"/>
      <c r="F128" s="54"/>
      <c r="G128" s="53"/>
      <c r="H128" s="53" t="str">
        <f>H3*10</f>
        <v>10</v>
      </c>
      <c r="I128" s="54"/>
      <c r="J128" s="53"/>
      <c r="K128" s="53"/>
      <c r="L128" s="54"/>
      <c r="M128" s="54" t="str">
        <f>40*M3</f>
        <v>120</v>
      </c>
      <c r="N128" s="54"/>
      <c r="O128" s="53"/>
      <c r="P128" s="53"/>
      <c r="Q128" s="53"/>
      <c r="R128" s="53"/>
      <c r="S128" s="54"/>
      <c r="T128" s="53"/>
      <c r="U128" s="54"/>
      <c r="V128" s="54"/>
      <c r="W128" s="42"/>
      <c r="X128" s="42"/>
      <c r="Y128" s="42"/>
      <c r="Z128" s="55"/>
      <c r="AA128" s="42" t="str">
        <f>10*AA3</f>
        <v>20</v>
      </c>
      <c r="AB128" s="42"/>
      <c r="AC128" s="42"/>
      <c r="AD128" s="42"/>
      <c r="AE128" s="42"/>
      <c r="AF128" s="55"/>
      <c r="AG128" s="55"/>
      <c r="AH128" s="42"/>
      <c r="AI128" s="20"/>
      <c r="AJ128" s="56"/>
      <c r="AK128" s="42"/>
      <c r="AL128" s="42"/>
      <c r="AM128" s="55"/>
      <c r="AN128" s="42"/>
      <c r="AO128" s="42"/>
      <c r="AP128" s="42"/>
      <c r="AQ128" s="42" t="str">
        <f>AQ3*750</f>
        <v>0</v>
      </c>
      <c r="AR128" s="42"/>
      <c r="AS128" s="42"/>
      <c r="AT128" s="55"/>
      <c r="AU128" s="57"/>
      <c r="AV128" s="57"/>
      <c r="AW128" s="57"/>
      <c r="AX128" s="57"/>
      <c r="AY128" s="57"/>
      <c r="AZ128" s="57"/>
      <c r="BA128" s="57"/>
      <c r="BB128" s="58"/>
      <c r="BC128" s="57"/>
      <c r="BD128" s="58"/>
      <c r="BE128" s="57"/>
      <c r="BF128" s="57"/>
      <c r="BG128" s="57"/>
      <c r="BH128" s="57"/>
      <c r="BI128" s="54"/>
      <c r="BJ128" s="53"/>
      <c r="BK128" s="53"/>
      <c r="BL128" s="59"/>
      <c r="BM128" s="59"/>
      <c r="BN128" s="59"/>
      <c r="BO128" s="59"/>
      <c r="BP128" s="60"/>
      <c r="BQ128" s="59"/>
      <c r="BR128" s="59"/>
      <c r="BS128" s="59"/>
      <c r="BT128" s="59"/>
      <c r="BU128" s="59"/>
      <c r="BV128" s="59"/>
      <c r="BW128" s="59"/>
      <c r="BX128" s="60"/>
      <c r="BY128" s="61"/>
      <c r="BZ128" s="61"/>
      <c r="CA128" s="61"/>
      <c r="CB128" s="61"/>
      <c r="CC128" s="61"/>
      <c r="CD128" s="61"/>
      <c r="CE128" s="61" t="str">
        <f>CE3*140</f>
        <v>0</v>
      </c>
      <c r="CF128" s="61"/>
      <c r="CG128" s="55"/>
      <c r="CH128" s="55"/>
      <c r="CI128" s="28"/>
      <c r="CJ128" s="49"/>
      <c r="CK128" s="50" t="str">
        <f t="shared" si="1"/>
        <v>150</v>
      </c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</row>
    <row r="129" ht="15.75" customHeight="1">
      <c r="A129" s="51" t="s">
        <v>339</v>
      </c>
      <c r="B129" s="52" t="s">
        <v>340</v>
      </c>
      <c r="C129" s="53"/>
      <c r="D129" s="54"/>
      <c r="E129" s="53"/>
      <c r="F129" s="54"/>
      <c r="G129" s="53"/>
      <c r="H129" s="53"/>
      <c r="I129" s="54"/>
      <c r="J129" s="53"/>
      <c r="K129" s="53"/>
      <c r="L129" s="54"/>
      <c r="M129" s="54"/>
      <c r="N129" s="54"/>
      <c r="O129" s="53"/>
      <c r="P129" s="53"/>
      <c r="Q129" s="53"/>
      <c r="R129" s="53"/>
      <c r="S129" s="54"/>
      <c r="T129" s="53"/>
      <c r="U129" s="54"/>
      <c r="V129" s="54"/>
      <c r="W129" s="42" t="str">
        <f>W3*3.5</f>
        <v>0</v>
      </c>
      <c r="X129" s="42"/>
      <c r="Y129" s="42"/>
      <c r="Z129" s="55"/>
      <c r="AA129" s="42" t="str">
        <f>6.95*AA3</f>
        <v>13.9</v>
      </c>
      <c r="AB129" s="42"/>
      <c r="AC129" s="42"/>
      <c r="AD129" s="42"/>
      <c r="AE129" s="42"/>
      <c r="AF129" s="55"/>
      <c r="AG129" s="55"/>
      <c r="AH129" s="42"/>
      <c r="AI129" s="20"/>
      <c r="AJ129" s="56"/>
      <c r="AK129" s="42"/>
      <c r="AL129" s="42" t="str">
        <f>AL3*6.95</f>
        <v>0</v>
      </c>
      <c r="AM129" s="55"/>
      <c r="AN129" s="42"/>
      <c r="AO129" s="42"/>
      <c r="AP129" s="42" t="str">
        <f>AP3*1.22</f>
        <v>0</v>
      </c>
      <c r="AQ129" s="42" t="str">
        <f>AQ3*10</f>
        <v>0</v>
      </c>
      <c r="AR129" s="42"/>
      <c r="AS129" s="42" t="str">
        <f>AS3*10</f>
        <v>0</v>
      </c>
      <c r="AT129" s="55"/>
      <c r="AU129" s="57"/>
      <c r="AV129" s="57"/>
      <c r="AW129" s="57"/>
      <c r="AX129" s="57"/>
      <c r="AY129" s="57"/>
      <c r="AZ129" s="57"/>
      <c r="BA129" s="57"/>
      <c r="BB129" s="58"/>
      <c r="BC129" s="57"/>
      <c r="BD129" s="58"/>
      <c r="BE129" s="57"/>
      <c r="BF129" s="57"/>
      <c r="BG129" s="57"/>
      <c r="BH129" s="57"/>
      <c r="BI129" s="54"/>
      <c r="BJ129" s="53"/>
      <c r="BK129" s="53"/>
      <c r="BL129" s="59"/>
      <c r="BM129" s="59"/>
      <c r="BN129" s="59"/>
      <c r="BO129" s="59"/>
      <c r="BP129" s="60"/>
      <c r="BQ129" s="59"/>
      <c r="BR129" s="59"/>
      <c r="BS129" s="59"/>
      <c r="BT129" s="59"/>
      <c r="BU129" s="59"/>
      <c r="BV129" s="59"/>
      <c r="BW129" s="59"/>
      <c r="BX129" s="60"/>
      <c r="BY129" s="61"/>
      <c r="BZ129" s="61"/>
      <c r="CA129" s="61"/>
      <c r="CB129" s="61"/>
      <c r="CC129" s="61"/>
      <c r="CD129" s="61"/>
      <c r="CE129" s="61"/>
      <c r="CF129" s="61"/>
      <c r="CG129" s="55"/>
      <c r="CH129" s="55"/>
      <c r="CI129" s="28"/>
      <c r="CJ129" s="49"/>
      <c r="CK129" s="50" t="str">
        <f t="shared" si="1"/>
        <v>13.9</v>
      </c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</row>
    <row r="130" ht="15.75" customHeight="1">
      <c r="A130" s="62" t="s">
        <v>341</v>
      </c>
      <c r="B130" s="63" t="s">
        <v>342</v>
      </c>
      <c r="C130" s="53"/>
      <c r="D130" s="54"/>
      <c r="E130" s="53"/>
      <c r="F130" s="54"/>
      <c r="G130" s="53"/>
      <c r="H130" s="53"/>
      <c r="I130" s="54"/>
      <c r="J130" s="53"/>
      <c r="K130" s="53"/>
      <c r="L130" s="54"/>
      <c r="M130" s="54"/>
      <c r="N130" s="54"/>
      <c r="O130" s="53"/>
      <c r="P130" s="53"/>
      <c r="Q130" s="53"/>
      <c r="R130" s="53"/>
      <c r="S130" s="54"/>
      <c r="T130" s="53"/>
      <c r="U130" s="54"/>
      <c r="V130" s="54"/>
      <c r="W130" s="42"/>
      <c r="X130" s="42"/>
      <c r="Y130" s="42"/>
      <c r="Z130" s="55" t="str">
        <f>Z3*4.5</f>
        <v>0</v>
      </c>
      <c r="AA130" s="42"/>
      <c r="AB130" s="42"/>
      <c r="AC130" s="42"/>
      <c r="AD130" s="42"/>
      <c r="AE130" s="42"/>
      <c r="AF130" s="55"/>
      <c r="AG130" s="55"/>
      <c r="AH130" s="42"/>
      <c r="AI130" s="20"/>
      <c r="AJ130" s="56"/>
      <c r="AK130" s="42"/>
      <c r="AL130" s="42"/>
      <c r="AM130" s="55"/>
      <c r="AN130" s="42"/>
      <c r="AO130" s="42"/>
      <c r="AP130" s="42"/>
      <c r="AQ130" s="42"/>
      <c r="AR130" s="42"/>
      <c r="AS130" s="42"/>
      <c r="AT130" s="55"/>
      <c r="AU130" s="57"/>
      <c r="AV130" s="57"/>
      <c r="AW130" s="57"/>
      <c r="AX130" s="57"/>
      <c r="AY130" s="57"/>
      <c r="AZ130" s="57"/>
      <c r="BA130" s="57"/>
      <c r="BB130" s="58"/>
      <c r="BC130" s="57"/>
      <c r="BD130" s="58"/>
      <c r="BE130" s="57"/>
      <c r="BF130" s="57"/>
      <c r="BG130" s="57"/>
      <c r="BH130" s="57"/>
      <c r="BI130" s="54"/>
      <c r="BJ130" s="53"/>
      <c r="BK130" s="53"/>
      <c r="BL130" s="59"/>
      <c r="BM130" s="59"/>
      <c r="BN130" s="59"/>
      <c r="BO130" s="59"/>
      <c r="BP130" s="60"/>
      <c r="BQ130" s="59"/>
      <c r="BR130" s="59"/>
      <c r="BS130" s="59"/>
      <c r="BT130" s="59"/>
      <c r="BU130" s="59"/>
      <c r="BV130" s="59"/>
      <c r="BW130" s="59"/>
      <c r="BX130" s="60"/>
      <c r="BY130" s="61"/>
      <c r="BZ130" s="61"/>
      <c r="CA130" s="61"/>
      <c r="CB130" s="61"/>
      <c r="CC130" s="61"/>
      <c r="CD130" s="61"/>
      <c r="CE130" s="61"/>
      <c r="CF130" s="61"/>
      <c r="CG130" s="55"/>
      <c r="CH130" s="55"/>
      <c r="CI130" s="28"/>
      <c r="CJ130" s="49"/>
      <c r="CK130" s="50" t="str">
        <f t="shared" si="1"/>
        <v>0</v>
      </c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</row>
    <row r="131" ht="15.75" customHeight="1">
      <c r="A131" s="51" t="s">
        <v>343</v>
      </c>
      <c r="B131" s="52" t="s">
        <v>344</v>
      </c>
      <c r="C131" s="53"/>
      <c r="D131" s="54"/>
      <c r="E131" s="53"/>
      <c r="F131" s="54"/>
      <c r="G131" s="53"/>
      <c r="H131" s="53"/>
      <c r="I131" s="54"/>
      <c r="J131" s="53"/>
      <c r="K131" s="53"/>
      <c r="L131" s="54"/>
      <c r="M131" s="54"/>
      <c r="N131" s="54"/>
      <c r="O131" s="53"/>
      <c r="P131" s="53"/>
      <c r="Q131" s="53"/>
      <c r="R131" s="53"/>
      <c r="S131" s="54"/>
      <c r="T131" s="53"/>
      <c r="U131" s="54"/>
      <c r="V131" s="54"/>
      <c r="W131" s="42"/>
      <c r="X131" s="42"/>
      <c r="Y131" s="42"/>
      <c r="Z131" s="55"/>
      <c r="AA131" s="42"/>
      <c r="AB131" s="42"/>
      <c r="AC131" s="42"/>
      <c r="AD131" s="42"/>
      <c r="AE131" s="42"/>
      <c r="AF131" s="55"/>
      <c r="AG131" s="55"/>
      <c r="AH131" s="42"/>
      <c r="AI131" s="20"/>
      <c r="AJ131" s="56"/>
      <c r="AK131" s="42"/>
      <c r="AL131" s="42"/>
      <c r="AM131" s="55" t="str">
        <f>AM3*80</f>
        <v>0</v>
      </c>
      <c r="AN131" s="42"/>
      <c r="AO131" s="42"/>
      <c r="AP131" s="42"/>
      <c r="AQ131" s="42"/>
      <c r="AR131" s="42"/>
      <c r="AS131" s="42"/>
      <c r="AT131" s="55"/>
      <c r="AU131" s="57"/>
      <c r="AV131" s="57"/>
      <c r="AW131" s="57"/>
      <c r="AX131" s="57"/>
      <c r="AY131" s="57"/>
      <c r="AZ131" s="57"/>
      <c r="BA131" s="57"/>
      <c r="BB131" s="58"/>
      <c r="BC131" s="57"/>
      <c r="BD131" s="58"/>
      <c r="BE131" s="57"/>
      <c r="BF131" s="57"/>
      <c r="BG131" s="57"/>
      <c r="BH131" s="57"/>
      <c r="BI131" s="54"/>
      <c r="BJ131" s="53"/>
      <c r="BK131" s="53"/>
      <c r="BL131" s="59"/>
      <c r="BM131" s="59"/>
      <c r="BN131" s="59"/>
      <c r="BO131" s="59"/>
      <c r="BP131" s="60"/>
      <c r="BQ131" s="59"/>
      <c r="BR131" s="59"/>
      <c r="BS131" s="59"/>
      <c r="BT131" s="59"/>
      <c r="BU131" s="59"/>
      <c r="BV131" s="59"/>
      <c r="BW131" s="59"/>
      <c r="BX131" s="60"/>
      <c r="BY131" s="61"/>
      <c r="BZ131" s="61"/>
      <c r="CA131" s="61"/>
      <c r="CB131" s="61" t="str">
        <f>CB3*80</f>
        <v>80</v>
      </c>
      <c r="CC131" s="61"/>
      <c r="CD131" s="61"/>
      <c r="CE131" s="61"/>
      <c r="CF131" s="61"/>
      <c r="CG131" s="55"/>
      <c r="CH131" s="55"/>
      <c r="CI131" s="28"/>
      <c r="CJ131" s="49"/>
      <c r="CK131" s="50" t="str">
        <f t="shared" si="1"/>
        <v>80</v>
      </c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</row>
    <row r="132" ht="15.75" customHeight="1">
      <c r="A132" s="62" t="s">
        <v>345</v>
      </c>
      <c r="B132" s="63" t="s">
        <v>346</v>
      </c>
      <c r="C132" s="53"/>
      <c r="D132" s="54"/>
      <c r="E132" s="53"/>
      <c r="F132" s="54"/>
      <c r="G132" s="53"/>
      <c r="H132" s="53"/>
      <c r="I132" s="54"/>
      <c r="J132" s="53" t="str">
        <f>J3*90</f>
        <v>0</v>
      </c>
      <c r="K132" s="53"/>
      <c r="L132" s="54"/>
      <c r="M132" s="54"/>
      <c r="N132" s="54"/>
      <c r="O132" s="53"/>
      <c r="P132" s="53"/>
      <c r="Q132" s="53"/>
      <c r="R132" s="53"/>
      <c r="S132" s="54"/>
      <c r="T132" s="53"/>
      <c r="U132" s="54"/>
      <c r="V132" s="54"/>
      <c r="W132" s="42"/>
      <c r="X132" s="42"/>
      <c r="Y132" s="42"/>
      <c r="Z132" s="55"/>
      <c r="AA132" s="42"/>
      <c r="AB132" s="42"/>
      <c r="AC132" s="42"/>
      <c r="AD132" s="42"/>
      <c r="AE132" s="42"/>
      <c r="AF132" s="55"/>
      <c r="AG132" s="55"/>
      <c r="AH132" s="42"/>
      <c r="AI132" s="20"/>
      <c r="AJ132" s="56"/>
      <c r="AK132" s="42"/>
      <c r="AL132" s="42"/>
      <c r="AM132" s="55"/>
      <c r="AN132" s="42"/>
      <c r="AO132" s="42"/>
      <c r="AP132" s="42"/>
      <c r="AQ132" s="42"/>
      <c r="AR132" s="42"/>
      <c r="AS132" s="42"/>
      <c r="AT132" s="55"/>
      <c r="AU132" s="57"/>
      <c r="AV132" s="57"/>
      <c r="AW132" s="57"/>
      <c r="AX132" s="57"/>
      <c r="AY132" s="57"/>
      <c r="AZ132" s="57"/>
      <c r="BA132" s="57"/>
      <c r="BB132" s="58"/>
      <c r="BC132" s="57"/>
      <c r="BD132" s="58"/>
      <c r="BE132" s="57"/>
      <c r="BF132" s="57"/>
      <c r="BG132" s="57"/>
      <c r="BH132" s="57"/>
      <c r="BI132" s="54"/>
      <c r="BJ132" s="53"/>
      <c r="BK132" s="53"/>
      <c r="BL132" s="59"/>
      <c r="BM132" s="59"/>
      <c r="BN132" s="59"/>
      <c r="BO132" s="59"/>
      <c r="BP132" s="60"/>
      <c r="BQ132" s="59"/>
      <c r="BR132" s="59"/>
      <c r="BS132" s="59"/>
      <c r="BT132" s="59"/>
      <c r="BU132" s="59"/>
      <c r="BV132" s="59"/>
      <c r="BW132" s="59"/>
      <c r="BX132" s="60"/>
      <c r="BY132" s="61"/>
      <c r="BZ132" s="61"/>
      <c r="CA132" s="61"/>
      <c r="CB132" s="61"/>
      <c r="CC132" s="61"/>
      <c r="CD132" s="61"/>
      <c r="CE132" s="61"/>
      <c r="CF132" s="61"/>
      <c r="CG132" s="55"/>
      <c r="CH132" s="55"/>
      <c r="CI132" s="28"/>
      <c r="CJ132" s="49"/>
      <c r="CK132" s="50" t="str">
        <f t="shared" si="1"/>
        <v>0</v>
      </c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</row>
    <row r="133" ht="15.75" customHeight="1">
      <c r="A133" s="51" t="s">
        <v>347</v>
      </c>
      <c r="B133" s="52" t="s">
        <v>348</v>
      </c>
      <c r="C133" s="53"/>
      <c r="D133" s="54"/>
      <c r="E133" s="53"/>
      <c r="F133" s="54"/>
      <c r="G133" s="53"/>
      <c r="H133" s="53" t="str">
        <f>H3*90</f>
        <v>90</v>
      </c>
      <c r="I133" s="54"/>
      <c r="J133" s="53"/>
      <c r="K133" s="53"/>
      <c r="L133" s="54"/>
      <c r="M133" s="54"/>
      <c r="N133" s="54"/>
      <c r="O133" s="53"/>
      <c r="P133" s="53"/>
      <c r="Q133" s="53"/>
      <c r="R133" s="53"/>
      <c r="S133" s="54"/>
      <c r="T133" s="53"/>
      <c r="U133" s="54"/>
      <c r="V133" s="54"/>
      <c r="W133" s="42"/>
      <c r="X133" s="42"/>
      <c r="Y133" s="42"/>
      <c r="Z133" s="55"/>
      <c r="AA133" s="42"/>
      <c r="AB133" s="42"/>
      <c r="AC133" s="42"/>
      <c r="AD133" s="42"/>
      <c r="AE133" s="42"/>
      <c r="AF133" s="55"/>
      <c r="AG133" s="55"/>
      <c r="AH133" s="42"/>
      <c r="AI133" s="20"/>
      <c r="AJ133" s="56"/>
      <c r="AK133" s="42"/>
      <c r="AL133" s="42"/>
      <c r="AM133" s="55"/>
      <c r="AN133" s="42"/>
      <c r="AO133" s="42"/>
      <c r="AP133" s="42"/>
      <c r="AQ133" s="42"/>
      <c r="AR133" s="42"/>
      <c r="AS133" s="42"/>
      <c r="AT133" s="55"/>
      <c r="AU133" s="57"/>
      <c r="AV133" s="57"/>
      <c r="AW133" s="57"/>
      <c r="AX133" s="57"/>
      <c r="AY133" s="57"/>
      <c r="AZ133" s="57"/>
      <c r="BA133" s="57"/>
      <c r="BB133" s="58"/>
      <c r="BC133" s="57"/>
      <c r="BD133" s="58"/>
      <c r="BE133" s="57"/>
      <c r="BF133" s="57"/>
      <c r="BG133" s="57"/>
      <c r="BH133" s="57"/>
      <c r="BI133" s="54"/>
      <c r="BJ133" s="53"/>
      <c r="BK133" s="53"/>
      <c r="BL133" s="59"/>
      <c r="BM133" s="59"/>
      <c r="BN133" s="59"/>
      <c r="BO133" s="59"/>
      <c r="BP133" s="60"/>
      <c r="BQ133" s="59"/>
      <c r="BR133" s="59"/>
      <c r="BS133" s="59"/>
      <c r="BT133" s="59"/>
      <c r="BU133" s="59"/>
      <c r="BV133" s="59"/>
      <c r="BW133" s="59"/>
      <c r="BX133" s="60"/>
      <c r="BY133" s="61"/>
      <c r="BZ133" s="61"/>
      <c r="CA133" s="61"/>
      <c r="CB133" s="61"/>
      <c r="CC133" s="61"/>
      <c r="CD133" s="61"/>
      <c r="CE133" s="61" t="str">
        <f>CE3*276</f>
        <v>0</v>
      </c>
      <c r="CF133" s="61"/>
      <c r="CG133" s="55"/>
      <c r="CH133" s="55"/>
      <c r="CI133" s="28"/>
      <c r="CJ133" s="49"/>
      <c r="CK133" s="50" t="str">
        <f t="shared" si="1"/>
        <v>90</v>
      </c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</row>
    <row r="134" ht="15.75" customHeight="1">
      <c r="A134" s="62" t="s">
        <v>349</v>
      </c>
      <c r="B134" s="63" t="s">
        <v>350</v>
      </c>
      <c r="C134" s="53"/>
      <c r="D134" s="54"/>
      <c r="E134" s="53"/>
      <c r="F134" s="54"/>
      <c r="G134" s="53"/>
      <c r="H134" s="53"/>
      <c r="I134" s="54"/>
      <c r="J134" s="53"/>
      <c r="K134" s="53"/>
      <c r="L134" s="54"/>
      <c r="M134" s="54"/>
      <c r="N134" s="54"/>
      <c r="O134" s="53"/>
      <c r="P134" s="53"/>
      <c r="Q134" s="53"/>
      <c r="R134" s="53"/>
      <c r="S134" s="54"/>
      <c r="T134" s="53"/>
      <c r="U134" s="54"/>
      <c r="V134" s="54"/>
      <c r="W134" s="42"/>
      <c r="X134" s="42"/>
      <c r="Y134" s="42"/>
      <c r="Z134" s="55"/>
      <c r="AA134" s="42"/>
      <c r="AB134" s="42"/>
      <c r="AC134" s="42"/>
      <c r="AD134" s="42"/>
      <c r="AE134" s="42"/>
      <c r="AF134" s="55"/>
      <c r="AG134" s="55"/>
      <c r="AH134" s="42"/>
      <c r="AI134" s="20" t="str">
        <f>AI3*1000</f>
        <v>1000</v>
      </c>
      <c r="AJ134" s="56"/>
      <c r="AK134" s="42"/>
      <c r="AL134" s="42"/>
      <c r="AM134" s="55"/>
      <c r="AN134" s="42" t="str">
        <f>200*AN3</f>
        <v>200</v>
      </c>
      <c r="AO134" s="42"/>
      <c r="AP134" s="42" t="str">
        <f>AP3*430</f>
        <v>0</v>
      </c>
      <c r="AQ134" s="42" t="str">
        <f>AQ3*200</f>
        <v>0</v>
      </c>
      <c r="AR134" s="42"/>
      <c r="AS134" s="42" t="str">
        <f>AS3*100</f>
        <v>0</v>
      </c>
      <c r="AT134" s="55"/>
      <c r="AU134" s="57"/>
      <c r="AV134" s="57"/>
      <c r="AW134" s="57"/>
      <c r="AX134" s="57"/>
      <c r="AY134" s="57"/>
      <c r="AZ134" s="57"/>
      <c r="BA134" s="57"/>
      <c r="BB134" s="58"/>
      <c r="BC134" s="57"/>
      <c r="BD134" s="58"/>
      <c r="BE134" s="57"/>
      <c r="BF134" s="57"/>
      <c r="BG134" s="57"/>
      <c r="BH134" s="57"/>
      <c r="BI134" s="54"/>
      <c r="BJ134" s="53"/>
      <c r="BK134" s="53"/>
      <c r="BL134" s="59"/>
      <c r="BM134" s="59"/>
      <c r="BN134" s="59"/>
      <c r="BO134" s="59"/>
      <c r="BP134" s="60"/>
      <c r="BQ134" s="59"/>
      <c r="BR134" s="59"/>
      <c r="BS134" s="59"/>
      <c r="BT134" s="59"/>
      <c r="BU134" s="59"/>
      <c r="BV134" s="59"/>
      <c r="BW134" s="59"/>
      <c r="BX134" s="60"/>
      <c r="BY134" s="61"/>
      <c r="BZ134" s="61"/>
      <c r="CA134" s="61"/>
      <c r="CB134" s="61"/>
      <c r="CC134" s="61"/>
      <c r="CD134" s="61"/>
      <c r="CE134" s="61"/>
      <c r="CF134" s="61"/>
      <c r="CG134" s="55"/>
      <c r="CH134" s="55"/>
      <c r="CI134" s="28" t="str">
        <f>CI3*94</f>
        <v>0</v>
      </c>
      <c r="CJ134" s="49"/>
      <c r="CK134" s="50" t="str">
        <f t="shared" si="1"/>
        <v>1200</v>
      </c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</row>
    <row r="135" ht="15.75" customHeight="1">
      <c r="A135" s="52" t="s">
        <v>351</v>
      </c>
      <c r="B135" s="52" t="s">
        <v>352</v>
      </c>
      <c r="C135" s="53"/>
      <c r="D135" s="54"/>
      <c r="E135" s="53"/>
      <c r="F135" s="54"/>
      <c r="G135" s="53" t="str">
        <f>G3*238.8</f>
        <v>238.8</v>
      </c>
      <c r="H135" s="53"/>
      <c r="I135" s="54"/>
      <c r="J135" s="53"/>
      <c r="K135" s="53"/>
      <c r="L135" s="54" t="str">
        <f>151.5*L3</f>
        <v>151.5</v>
      </c>
      <c r="M135" s="54"/>
      <c r="N135" s="54"/>
      <c r="O135" s="53" t="str">
        <f>O3*250</f>
        <v>0</v>
      </c>
      <c r="P135" s="53"/>
      <c r="Q135" s="53"/>
      <c r="R135" s="53"/>
      <c r="S135" s="54"/>
      <c r="T135" s="53"/>
      <c r="U135" s="54"/>
      <c r="V135" s="54"/>
      <c r="W135" s="42"/>
      <c r="X135" s="42" t="str">
        <f>72*X3</f>
        <v>72</v>
      </c>
      <c r="Y135" s="42"/>
      <c r="Z135" s="55"/>
      <c r="AA135" s="42" t="str">
        <f>180*AA3</f>
        <v>360</v>
      </c>
      <c r="AB135" s="42"/>
      <c r="AC135" s="42"/>
      <c r="AD135" s="42"/>
      <c r="AE135" s="42"/>
      <c r="AF135" s="55"/>
      <c r="AG135" s="55"/>
      <c r="AH135" s="42"/>
      <c r="AI135" s="20"/>
      <c r="AJ135" s="56"/>
      <c r="AK135" s="42"/>
      <c r="AL135" s="42" t="str">
        <f>AL3*103.5</f>
        <v>0</v>
      </c>
      <c r="AM135" s="55"/>
      <c r="AN135" s="42"/>
      <c r="AO135" s="42"/>
      <c r="AP135" s="42"/>
      <c r="AQ135" s="42"/>
      <c r="AR135" s="42"/>
      <c r="AS135" s="42"/>
      <c r="AT135" s="55"/>
      <c r="AU135" s="57"/>
      <c r="AV135" s="57"/>
      <c r="AW135" s="57"/>
      <c r="AX135" s="57"/>
      <c r="AY135" s="57"/>
      <c r="AZ135" s="57"/>
      <c r="BA135" s="57"/>
      <c r="BB135" s="58"/>
      <c r="BC135" s="57"/>
      <c r="BD135" s="58"/>
      <c r="BE135" s="57"/>
      <c r="BF135" s="57"/>
      <c r="BG135" s="57"/>
      <c r="BH135" s="57"/>
      <c r="BI135" s="54"/>
      <c r="BJ135" s="53"/>
      <c r="BK135" s="53"/>
      <c r="BL135" s="59"/>
      <c r="BM135" s="59"/>
      <c r="BN135" s="59"/>
      <c r="BO135" s="59"/>
      <c r="BP135" s="60"/>
      <c r="BQ135" s="59"/>
      <c r="BR135" s="59"/>
      <c r="BS135" s="59"/>
      <c r="BT135" s="59"/>
      <c r="BU135" s="59"/>
      <c r="BV135" s="59"/>
      <c r="BW135" s="59"/>
      <c r="BX135" s="60"/>
      <c r="BY135" s="61"/>
      <c r="BZ135" s="61"/>
      <c r="CA135" s="61"/>
      <c r="CB135" s="61"/>
      <c r="CC135" s="61"/>
      <c r="CD135" s="61"/>
      <c r="CE135" s="61"/>
      <c r="CF135" s="61"/>
      <c r="CG135" s="55"/>
      <c r="CH135" s="55"/>
      <c r="CI135" s="28"/>
      <c r="CJ135" s="49"/>
      <c r="CK135" s="50" t="str">
        <f t="shared" si="1"/>
        <v>822.3</v>
      </c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</row>
    <row r="136" ht="15.75" customHeight="1">
      <c r="A136" s="51" t="s">
        <v>353</v>
      </c>
      <c r="B136" s="52" t="s">
        <v>354</v>
      </c>
      <c r="C136" s="53"/>
      <c r="D136" s="54"/>
      <c r="E136" s="53"/>
      <c r="F136" s="54"/>
      <c r="G136" s="53"/>
      <c r="H136" s="53"/>
      <c r="I136" s="54"/>
      <c r="J136" s="53"/>
      <c r="K136" s="53"/>
      <c r="L136" s="54"/>
      <c r="M136" s="54"/>
      <c r="N136" s="54"/>
      <c r="O136" s="53"/>
      <c r="P136" s="53"/>
      <c r="Q136" s="53"/>
      <c r="R136" s="53"/>
      <c r="S136" s="54"/>
      <c r="T136" s="53"/>
      <c r="U136" s="54"/>
      <c r="V136" s="54"/>
      <c r="W136" s="42"/>
      <c r="X136" s="42"/>
      <c r="Y136" s="42"/>
      <c r="Z136" s="55"/>
      <c r="AA136" s="42"/>
      <c r="AB136" s="42"/>
      <c r="AC136" s="42"/>
      <c r="AD136" s="42"/>
      <c r="AE136" s="42"/>
      <c r="AF136" s="55"/>
      <c r="AG136" s="55"/>
      <c r="AH136" s="42"/>
      <c r="AI136" s="20"/>
      <c r="AJ136" s="56"/>
      <c r="AK136" s="42"/>
      <c r="AL136" s="42"/>
      <c r="AM136" s="55"/>
      <c r="AN136" s="42"/>
      <c r="AO136" s="42"/>
      <c r="AP136" s="42"/>
      <c r="AQ136" s="42"/>
      <c r="AR136" s="42"/>
      <c r="AS136" s="42"/>
      <c r="AT136" s="55"/>
      <c r="AU136" s="57"/>
      <c r="AV136" s="57"/>
      <c r="AW136" s="57"/>
      <c r="AX136" s="57"/>
      <c r="AY136" s="57"/>
      <c r="AZ136" s="57"/>
      <c r="BA136" s="57"/>
      <c r="BB136" s="58"/>
      <c r="BC136" s="57"/>
      <c r="BD136" s="58"/>
      <c r="BE136" s="57"/>
      <c r="BF136" s="57"/>
      <c r="BG136" s="57"/>
      <c r="BH136" s="57"/>
      <c r="BI136" s="54"/>
      <c r="BJ136" s="53"/>
      <c r="BK136" s="53"/>
      <c r="BL136" s="59"/>
      <c r="BM136" s="59"/>
      <c r="BN136" s="59"/>
      <c r="BO136" s="59"/>
      <c r="BP136" s="60"/>
      <c r="BQ136" s="59"/>
      <c r="BR136" s="59"/>
      <c r="BS136" s="59"/>
      <c r="BT136" s="59"/>
      <c r="BU136" s="59"/>
      <c r="BV136" s="59"/>
      <c r="BW136" s="59"/>
      <c r="BX136" s="60"/>
      <c r="BY136" s="61" t="str">
        <f>BY3*40</f>
        <v>20</v>
      </c>
      <c r="BZ136" s="61"/>
      <c r="CA136" s="61"/>
      <c r="CB136" s="61"/>
      <c r="CC136" s="61"/>
      <c r="CD136" s="61"/>
      <c r="CE136" s="61"/>
      <c r="CF136" s="61"/>
      <c r="CG136" s="55"/>
      <c r="CH136" s="55"/>
      <c r="CI136" s="28"/>
      <c r="CJ136" s="49"/>
      <c r="CK136" s="50" t="str">
        <f t="shared" si="1"/>
        <v>20</v>
      </c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</row>
    <row r="137" ht="15.75" customHeight="1">
      <c r="A137" s="62" t="s">
        <v>355</v>
      </c>
      <c r="B137" s="63" t="s">
        <v>356</v>
      </c>
      <c r="C137" s="53"/>
      <c r="D137" s="54"/>
      <c r="E137" s="53" t="str">
        <f>E3*52</f>
        <v>260</v>
      </c>
      <c r="F137" s="54"/>
      <c r="G137" s="53"/>
      <c r="H137" s="53"/>
      <c r="I137" s="54"/>
      <c r="J137" s="53"/>
      <c r="K137" s="53"/>
      <c r="L137" s="54"/>
      <c r="M137" s="54"/>
      <c r="N137" s="54"/>
      <c r="O137" s="53"/>
      <c r="P137" s="53"/>
      <c r="Q137" s="53"/>
      <c r="R137" s="53"/>
      <c r="S137" s="54"/>
      <c r="T137" s="53"/>
      <c r="U137" s="54" t="str">
        <f>50*U3</f>
        <v>0</v>
      </c>
      <c r="V137" s="54" t="str">
        <f>V3*50</f>
        <v>50</v>
      </c>
      <c r="W137" s="42"/>
      <c r="X137" s="42"/>
      <c r="Y137" s="42"/>
      <c r="Z137" s="55"/>
      <c r="AA137" s="42"/>
      <c r="AB137" s="42"/>
      <c r="AC137" s="42"/>
      <c r="AD137" s="42"/>
      <c r="AE137" s="42" t="str">
        <f>561.6*AE3</f>
        <v>561.6</v>
      </c>
      <c r="AF137" s="55"/>
      <c r="AG137" s="55"/>
      <c r="AH137" s="42"/>
      <c r="AI137" s="20"/>
      <c r="AJ137" s="56"/>
      <c r="AK137" s="42"/>
      <c r="AL137" s="42"/>
      <c r="AM137" s="55"/>
      <c r="AN137" s="42"/>
      <c r="AO137" s="42"/>
      <c r="AP137" s="42"/>
      <c r="AQ137" s="42"/>
      <c r="AR137" s="42"/>
      <c r="AS137" s="42"/>
      <c r="AT137" s="55"/>
      <c r="AU137" s="57" t="str">
        <f>AU3*18</f>
        <v>18</v>
      </c>
      <c r="AV137" s="57"/>
      <c r="AW137" s="57" t="str">
        <f t="shared" ref="AW137:AX137" si="21">AW3*7.6</f>
        <v>0</v>
      </c>
      <c r="AX137" s="57" t="str">
        <f t="shared" si="21"/>
        <v>0</v>
      </c>
      <c r="AY137" s="57" t="str">
        <f>AY3*40</f>
        <v>20</v>
      </c>
      <c r="AZ137" s="57" t="str">
        <f>AZ3*72</f>
        <v>72</v>
      </c>
      <c r="BA137" s="57" t="str">
        <f>BA3*7.6</f>
        <v>0</v>
      </c>
      <c r="BB137" s="58" t="str">
        <f>BB3*20</f>
        <v>0</v>
      </c>
      <c r="BC137" s="57" t="str">
        <f>7.6*BC3</f>
        <v>0</v>
      </c>
      <c r="BD137" s="58"/>
      <c r="BE137" s="57" t="str">
        <f>BE3*30</f>
        <v>0</v>
      </c>
      <c r="BF137" s="57" t="str">
        <f>BF3*7.6</f>
        <v>0</v>
      </c>
      <c r="BG137" s="57" t="str">
        <f>BG3*58</f>
        <v>0</v>
      </c>
      <c r="BH137" s="57"/>
      <c r="BI137" s="54"/>
      <c r="BJ137" s="53"/>
      <c r="BK137" s="53"/>
      <c r="BL137" s="59"/>
      <c r="BM137" s="59"/>
      <c r="BN137" s="59"/>
      <c r="BO137" s="59"/>
      <c r="BP137" s="60"/>
      <c r="BQ137" s="59"/>
      <c r="BR137" s="59"/>
      <c r="BS137" s="59"/>
      <c r="BT137" s="59"/>
      <c r="BU137" s="59"/>
      <c r="BV137" s="59"/>
      <c r="BW137" s="59"/>
      <c r="BX137" s="60"/>
      <c r="BY137" s="61"/>
      <c r="BZ137" s="61"/>
      <c r="CA137" s="61"/>
      <c r="CB137" s="61"/>
      <c r="CC137" s="61"/>
      <c r="CD137" s="61"/>
      <c r="CE137" s="61"/>
      <c r="CF137" s="61"/>
      <c r="CG137" s="55"/>
      <c r="CH137" s="55"/>
      <c r="CI137" s="28"/>
      <c r="CJ137" s="49"/>
      <c r="CK137" s="50" t="str">
        <f t="shared" si="1"/>
        <v>981.6</v>
      </c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</row>
    <row r="138" ht="15.75" customHeight="1">
      <c r="A138" s="51" t="s">
        <v>357</v>
      </c>
      <c r="B138" s="52" t="s">
        <v>358</v>
      </c>
      <c r="C138" s="53"/>
      <c r="D138" s="54"/>
      <c r="E138" s="53"/>
      <c r="F138" s="54"/>
      <c r="G138" s="53"/>
      <c r="H138" s="53"/>
      <c r="I138" s="54"/>
      <c r="J138" s="53"/>
      <c r="K138" s="53"/>
      <c r="L138" s="54"/>
      <c r="M138" s="54"/>
      <c r="N138" s="54"/>
      <c r="O138" s="53"/>
      <c r="P138" s="53"/>
      <c r="Q138" s="53"/>
      <c r="R138" s="53"/>
      <c r="S138" s="54"/>
      <c r="T138" s="53"/>
      <c r="U138" s="54"/>
      <c r="V138" s="54"/>
      <c r="W138" s="42"/>
      <c r="X138" s="42"/>
      <c r="Y138" s="42"/>
      <c r="Z138" s="55"/>
      <c r="AA138" s="42"/>
      <c r="AB138" s="42"/>
      <c r="AC138" s="42"/>
      <c r="AD138" s="42"/>
      <c r="AE138" s="42"/>
      <c r="AF138" s="55"/>
      <c r="AG138" s="55"/>
      <c r="AH138" s="42"/>
      <c r="AI138" s="20"/>
      <c r="AJ138" s="56"/>
      <c r="AK138" s="42"/>
      <c r="AL138" s="42"/>
      <c r="AM138" s="55"/>
      <c r="AN138" s="42"/>
      <c r="AO138" s="42"/>
      <c r="AP138" s="42"/>
      <c r="AQ138" s="42"/>
      <c r="AR138" s="42"/>
      <c r="AS138" s="42"/>
      <c r="AT138" s="55"/>
      <c r="AU138" s="57"/>
      <c r="AV138" s="57"/>
      <c r="AW138" s="57" t="str">
        <f t="shared" ref="AW138:AX138" si="22">AW3*10</f>
        <v>0</v>
      </c>
      <c r="AX138" s="57" t="str">
        <f t="shared" si="22"/>
        <v>0</v>
      </c>
      <c r="AY138" s="57"/>
      <c r="AZ138" s="57"/>
      <c r="BA138" s="57" t="str">
        <f>BA3*10</f>
        <v>0</v>
      </c>
      <c r="BB138" s="58"/>
      <c r="BC138" s="57" t="str">
        <f>10*BC3</f>
        <v>0</v>
      </c>
      <c r="BD138" s="58"/>
      <c r="BE138" s="57"/>
      <c r="BF138" s="57" t="str">
        <f>BF3*10</f>
        <v>0</v>
      </c>
      <c r="BG138" s="57"/>
      <c r="BH138" s="57"/>
      <c r="BI138" s="54"/>
      <c r="BJ138" s="53"/>
      <c r="BK138" s="53"/>
      <c r="BL138" s="59"/>
      <c r="BM138" s="59"/>
      <c r="BN138" s="59"/>
      <c r="BO138" s="59"/>
      <c r="BP138" s="60"/>
      <c r="BQ138" s="59"/>
      <c r="BR138" s="59"/>
      <c r="BS138" s="59"/>
      <c r="BT138" s="59"/>
      <c r="BU138" s="59"/>
      <c r="BV138" s="59"/>
      <c r="BW138" s="59"/>
      <c r="BX138" s="60"/>
      <c r="BY138" s="61"/>
      <c r="BZ138" s="61"/>
      <c r="CA138" s="61"/>
      <c r="CB138" s="61"/>
      <c r="CC138" s="61"/>
      <c r="CD138" s="61"/>
      <c r="CE138" s="61"/>
      <c r="CF138" s="61"/>
      <c r="CG138" s="55"/>
      <c r="CH138" s="55"/>
      <c r="CI138" s="28"/>
      <c r="CJ138" s="49"/>
      <c r="CK138" s="50" t="str">
        <f t="shared" si="1"/>
        <v>0</v>
      </c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</row>
    <row r="139" ht="15.75" customHeight="1">
      <c r="A139" s="62" t="s">
        <v>359</v>
      </c>
      <c r="B139" s="63" t="s">
        <v>360</v>
      </c>
      <c r="C139" s="53"/>
      <c r="D139" s="54"/>
      <c r="E139" s="53"/>
      <c r="F139" s="54"/>
      <c r="G139" s="53" t="str">
        <f>G3*12</f>
        <v>12</v>
      </c>
      <c r="H139" s="53"/>
      <c r="I139" s="54"/>
      <c r="J139" s="53"/>
      <c r="K139" s="53" t="str">
        <f>K3*(990*2)</f>
        <v>990</v>
      </c>
      <c r="L139" s="54"/>
      <c r="M139" s="54"/>
      <c r="N139" s="54"/>
      <c r="O139" s="53"/>
      <c r="P139" s="53"/>
      <c r="Q139" s="53"/>
      <c r="R139" s="53"/>
      <c r="S139" s="54"/>
      <c r="T139" s="53"/>
      <c r="U139" s="54"/>
      <c r="V139" s="54"/>
      <c r="W139" s="42"/>
      <c r="X139" s="42" t="str">
        <f>9*X3</f>
        <v>9</v>
      </c>
      <c r="Y139" s="42"/>
      <c r="Z139" s="55"/>
      <c r="AA139" s="42"/>
      <c r="AB139" s="42" t="str">
        <f>AB3*10</f>
        <v>0</v>
      </c>
      <c r="AC139" s="42"/>
      <c r="AD139" s="42"/>
      <c r="AE139" s="42" t="str">
        <f>10.8*AE3</f>
        <v>10.8</v>
      </c>
      <c r="AF139" s="55"/>
      <c r="AG139" s="55"/>
      <c r="AH139" s="42"/>
      <c r="AI139" s="20"/>
      <c r="AJ139" s="56"/>
      <c r="AK139" s="42"/>
      <c r="AL139" s="42"/>
      <c r="AM139" s="55"/>
      <c r="AN139" s="42"/>
      <c r="AO139" s="42"/>
      <c r="AP139" s="42"/>
      <c r="AQ139" s="42"/>
      <c r="AR139" s="42"/>
      <c r="AS139" s="42"/>
      <c r="AT139" s="55"/>
      <c r="AU139" s="57"/>
      <c r="AV139" s="57"/>
      <c r="AW139" s="57"/>
      <c r="AX139" s="57"/>
      <c r="AY139" s="57"/>
      <c r="AZ139" s="57"/>
      <c r="BA139" s="57"/>
      <c r="BB139" s="58"/>
      <c r="BC139" s="57"/>
      <c r="BD139" s="58"/>
      <c r="BE139" s="57"/>
      <c r="BF139" s="57"/>
      <c r="BG139" s="57"/>
      <c r="BH139" s="57"/>
      <c r="BI139" s="54"/>
      <c r="BJ139" s="53"/>
      <c r="BK139" s="53"/>
      <c r="BL139" s="59"/>
      <c r="BM139" s="59"/>
      <c r="BN139" s="59"/>
      <c r="BO139" s="59"/>
      <c r="BP139" s="60"/>
      <c r="BQ139" s="59"/>
      <c r="BR139" s="59" t="str">
        <f>BR3*200</f>
        <v>100</v>
      </c>
      <c r="BS139" s="59"/>
      <c r="BT139" s="59"/>
      <c r="BU139" s="59"/>
      <c r="BV139" s="59"/>
      <c r="BW139" s="59"/>
      <c r="BX139" s="60"/>
      <c r="BY139" s="61"/>
      <c r="BZ139" s="61"/>
      <c r="CA139" s="61"/>
      <c r="CB139" s="61"/>
      <c r="CC139" s="61"/>
      <c r="CD139" s="61"/>
      <c r="CE139" s="61"/>
      <c r="CF139" s="61"/>
      <c r="CG139" s="55"/>
      <c r="CH139" s="55"/>
      <c r="CI139" s="28"/>
      <c r="CJ139" s="49"/>
      <c r="CK139" s="50" t="str">
        <f t="shared" si="1"/>
        <v>1121.8</v>
      </c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</row>
    <row r="140" ht="15.75" customHeight="1">
      <c r="A140" s="51" t="s">
        <v>361</v>
      </c>
      <c r="B140" s="52" t="s">
        <v>362</v>
      </c>
      <c r="C140" s="53"/>
      <c r="D140" s="54"/>
      <c r="E140" s="53"/>
      <c r="F140" s="54"/>
      <c r="G140" s="53"/>
      <c r="H140" s="53"/>
      <c r="I140" s="54"/>
      <c r="J140" s="53"/>
      <c r="K140" s="53"/>
      <c r="L140" s="54" t="str">
        <f>688.55*L3</f>
        <v>688.55</v>
      </c>
      <c r="M140" s="54"/>
      <c r="N140" s="54"/>
      <c r="O140" s="53"/>
      <c r="P140" s="53"/>
      <c r="Q140" s="53"/>
      <c r="R140" s="53"/>
      <c r="S140" s="54"/>
      <c r="T140" s="53"/>
      <c r="U140" s="54"/>
      <c r="V140" s="54"/>
      <c r="W140" s="42"/>
      <c r="X140" s="42"/>
      <c r="Y140" s="42"/>
      <c r="Z140" s="55"/>
      <c r="AA140" s="42"/>
      <c r="AB140" s="42" t="str">
        <f>AB3*250</f>
        <v>0</v>
      </c>
      <c r="AC140" s="42"/>
      <c r="AD140" s="42"/>
      <c r="AE140" s="42"/>
      <c r="AF140" s="55"/>
      <c r="AG140" s="55"/>
      <c r="AH140" s="42"/>
      <c r="AI140" s="20"/>
      <c r="AJ140" s="56"/>
      <c r="AK140" s="42"/>
      <c r="AL140" s="42"/>
      <c r="AM140" s="55"/>
      <c r="AN140" s="42"/>
      <c r="AO140" s="42"/>
      <c r="AP140" s="42"/>
      <c r="AQ140" s="42"/>
      <c r="AR140" s="42"/>
      <c r="AS140" s="42"/>
      <c r="AT140" s="55"/>
      <c r="AU140" s="57"/>
      <c r="AV140" s="57"/>
      <c r="AW140" s="57"/>
      <c r="AX140" s="57"/>
      <c r="AY140" s="57"/>
      <c r="AZ140" s="57"/>
      <c r="BA140" s="57"/>
      <c r="BB140" s="58"/>
      <c r="BC140" s="57"/>
      <c r="BD140" s="58"/>
      <c r="BE140" s="57"/>
      <c r="BF140" s="57"/>
      <c r="BG140" s="57"/>
      <c r="BH140" s="57"/>
      <c r="BI140" s="54"/>
      <c r="BJ140" s="53"/>
      <c r="BK140" s="53"/>
      <c r="BL140" s="59"/>
      <c r="BM140" s="59"/>
      <c r="BN140" s="59"/>
      <c r="BO140" s="59"/>
      <c r="BP140" s="60"/>
      <c r="BQ140" s="59"/>
      <c r="BR140" s="59"/>
      <c r="BS140" s="59"/>
      <c r="BT140" s="59"/>
      <c r="BU140" s="59"/>
      <c r="BV140" s="59" t="str">
        <f>BV3*12.8</f>
        <v>12.8</v>
      </c>
      <c r="BW140" s="59"/>
      <c r="BX140" s="60"/>
      <c r="BY140" s="61"/>
      <c r="BZ140" s="61"/>
      <c r="CA140" s="61"/>
      <c r="CB140" s="61"/>
      <c r="CC140" s="61"/>
      <c r="CD140" s="61"/>
      <c r="CE140" s="61"/>
      <c r="CF140" s="61"/>
      <c r="CG140" s="55"/>
      <c r="CH140" s="55"/>
      <c r="CI140" s="28"/>
      <c r="CJ140" s="49"/>
      <c r="CK140" s="50" t="str">
        <f t="shared" si="1"/>
        <v>701.35</v>
      </c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</row>
    <row r="141" ht="15.75" customHeight="1">
      <c r="A141" s="62" t="s">
        <v>363</v>
      </c>
      <c r="B141" s="63" t="s">
        <v>364</v>
      </c>
      <c r="C141" s="53"/>
      <c r="D141" s="54"/>
      <c r="E141" s="53"/>
      <c r="F141" s="54"/>
      <c r="G141" s="53"/>
      <c r="H141" s="53"/>
      <c r="I141" s="54"/>
      <c r="J141" s="53"/>
      <c r="K141" s="53"/>
      <c r="L141" s="54"/>
      <c r="M141" s="54"/>
      <c r="N141" s="54"/>
      <c r="O141" s="53"/>
      <c r="P141" s="53"/>
      <c r="Q141" s="53"/>
      <c r="R141" s="53"/>
      <c r="S141" s="54"/>
      <c r="T141" s="53"/>
      <c r="U141" s="54"/>
      <c r="V141" s="54"/>
      <c r="W141" s="42"/>
      <c r="X141" s="42"/>
      <c r="Y141" s="42"/>
      <c r="Z141" s="55"/>
      <c r="AA141" s="42"/>
      <c r="AB141" s="42"/>
      <c r="AC141" s="42"/>
      <c r="AD141" s="42"/>
      <c r="AE141" s="42"/>
      <c r="AF141" s="55"/>
      <c r="AG141" s="55"/>
      <c r="AH141" s="42" t="str">
        <f>AH3*200</f>
        <v>0</v>
      </c>
      <c r="AI141" s="20"/>
      <c r="AJ141" s="56"/>
      <c r="AK141" s="42"/>
      <c r="AL141" s="42"/>
      <c r="AM141" s="55"/>
      <c r="AN141" s="42"/>
      <c r="AO141" s="42"/>
      <c r="AP141" s="42"/>
      <c r="AQ141" s="42"/>
      <c r="AR141" s="42"/>
      <c r="AS141" s="42"/>
      <c r="AT141" s="55"/>
      <c r="AU141" s="57"/>
      <c r="AV141" s="57"/>
      <c r="AW141" s="57"/>
      <c r="AX141" s="57"/>
      <c r="AY141" s="57"/>
      <c r="AZ141" s="57"/>
      <c r="BA141" s="57"/>
      <c r="BB141" s="58"/>
      <c r="BC141" s="57"/>
      <c r="BD141" s="58"/>
      <c r="BE141" s="57"/>
      <c r="BF141" s="57"/>
      <c r="BG141" s="57"/>
      <c r="BH141" s="57"/>
      <c r="BI141" s="54"/>
      <c r="BJ141" s="53"/>
      <c r="BK141" s="53"/>
      <c r="BL141" s="59"/>
      <c r="BM141" s="59"/>
      <c r="BN141" s="59"/>
      <c r="BO141" s="59"/>
      <c r="BP141" s="60"/>
      <c r="BQ141" s="59"/>
      <c r="BR141" s="59"/>
      <c r="BS141" s="59"/>
      <c r="BT141" s="59"/>
      <c r="BU141" s="59"/>
      <c r="BV141" s="59"/>
      <c r="BW141" s="59"/>
      <c r="BX141" s="60"/>
      <c r="BY141" s="61"/>
      <c r="BZ141" s="61"/>
      <c r="CA141" s="61"/>
      <c r="CB141" s="61"/>
      <c r="CC141" s="61"/>
      <c r="CD141" s="61"/>
      <c r="CE141" s="61"/>
      <c r="CF141" s="61"/>
      <c r="CG141" s="55"/>
      <c r="CH141" s="55"/>
      <c r="CI141" s="28"/>
      <c r="CJ141" s="49"/>
      <c r="CK141" s="50" t="str">
        <f t="shared" si="1"/>
        <v>0</v>
      </c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</row>
    <row r="142" ht="15.75" customHeight="1">
      <c r="A142" s="51" t="s">
        <v>365</v>
      </c>
      <c r="B142" s="52" t="s">
        <v>366</v>
      </c>
      <c r="C142" s="53"/>
      <c r="D142" s="54"/>
      <c r="E142" s="53"/>
      <c r="F142" s="54"/>
      <c r="G142" s="53"/>
      <c r="H142" s="53"/>
      <c r="I142" s="54"/>
      <c r="J142" s="53"/>
      <c r="K142" s="53"/>
      <c r="L142" s="54"/>
      <c r="M142" s="54"/>
      <c r="N142" s="54"/>
      <c r="O142" s="53"/>
      <c r="P142" s="53"/>
      <c r="Q142" s="53"/>
      <c r="R142" s="53"/>
      <c r="S142" s="54"/>
      <c r="T142" s="53"/>
      <c r="U142" s="54"/>
      <c r="V142" s="54"/>
      <c r="W142" s="42"/>
      <c r="X142" s="42"/>
      <c r="Y142" s="42"/>
      <c r="Z142" s="55"/>
      <c r="AA142" s="42"/>
      <c r="AB142" s="42"/>
      <c r="AC142" s="42"/>
      <c r="AD142" s="42"/>
      <c r="AE142" s="42"/>
      <c r="AF142" s="55"/>
      <c r="AG142" s="55"/>
      <c r="AH142" s="42"/>
      <c r="AI142" s="20"/>
      <c r="AJ142" s="56"/>
      <c r="AK142" s="42"/>
      <c r="AL142" s="42"/>
      <c r="AM142" s="55"/>
      <c r="AN142" s="42"/>
      <c r="AO142" s="42"/>
      <c r="AP142" s="42"/>
      <c r="AQ142" s="42"/>
      <c r="AR142" s="42"/>
      <c r="AS142" s="42"/>
      <c r="AT142" s="55"/>
      <c r="AU142" s="57"/>
      <c r="AV142" s="57"/>
      <c r="AW142" s="57"/>
      <c r="AX142" s="57"/>
      <c r="AY142" s="57"/>
      <c r="AZ142" s="57"/>
      <c r="BA142" s="57"/>
      <c r="BB142" s="58"/>
      <c r="BC142" s="57"/>
      <c r="BD142" s="58"/>
      <c r="BE142" s="57"/>
      <c r="BF142" s="57"/>
      <c r="BG142" s="57"/>
      <c r="BH142" s="57"/>
      <c r="BI142" s="54"/>
      <c r="BJ142" s="53"/>
      <c r="BK142" s="53"/>
      <c r="BL142" s="59"/>
      <c r="BM142" s="59"/>
      <c r="BN142" s="59"/>
      <c r="BO142" s="59"/>
      <c r="BP142" s="60"/>
      <c r="BQ142" s="59"/>
      <c r="BR142" s="59"/>
      <c r="BS142" s="59"/>
      <c r="BT142" s="59"/>
      <c r="BU142" s="59" t="str">
        <f>BU3*487</f>
        <v>243.5</v>
      </c>
      <c r="BV142" s="59"/>
      <c r="BW142" s="59"/>
      <c r="BX142" s="60"/>
      <c r="BY142" s="61"/>
      <c r="BZ142" s="61"/>
      <c r="CA142" s="61"/>
      <c r="CB142" s="61"/>
      <c r="CC142" s="61"/>
      <c r="CD142" s="61"/>
      <c r="CE142" s="61"/>
      <c r="CF142" s="61"/>
      <c r="CG142" s="55"/>
      <c r="CH142" s="55"/>
      <c r="CI142" s="28"/>
      <c r="CJ142" s="49"/>
      <c r="CK142" s="50" t="str">
        <f t="shared" si="1"/>
        <v>243.5</v>
      </c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</row>
    <row r="143" ht="15.75" customHeight="1">
      <c r="A143" s="62" t="s">
        <v>367</v>
      </c>
      <c r="B143" s="63" t="s">
        <v>368</v>
      </c>
      <c r="C143" s="53"/>
      <c r="D143" s="54"/>
      <c r="E143" s="53"/>
      <c r="F143" s="54"/>
      <c r="G143" s="53"/>
      <c r="H143" s="53"/>
      <c r="I143" s="54"/>
      <c r="J143" s="53"/>
      <c r="K143" s="53"/>
      <c r="L143" s="54"/>
      <c r="M143" s="54"/>
      <c r="N143" s="54"/>
      <c r="O143" s="53"/>
      <c r="P143" s="53"/>
      <c r="Q143" s="53"/>
      <c r="R143" s="53"/>
      <c r="S143" s="54"/>
      <c r="T143" s="53"/>
      <c r="U143" s="54"/>
      <c r="V143" s="54"/>
      <c r="W143" s="42"/>
      <c r="X143" s="42"/>
      <c r="Y143" s="42"/>
      <c r="Z143" s="55"/>
      <c r="AA143" s="42"/>
      <c r="AB143" s="42"/>
      <c r="AC143" s="42"/>
      <c r="AD143" s="42"/>
      <c r="AE143" s="42"/>
      <c r="AF143" s="55"/>
      <c r="AG143" s="55"/>
      <c r="AH143" s="42"/>
      <c r="AI143" s="20"/>
      <c r="AJ143" s="56"/>
      <c r="AK143" s="42"/>
      <c r="AL143" s="42"/>
      <c r="AM143" s="55"/>
      <c r="AN143" s="42"/>
      <c r="AO143" s="42"/>
      <c r="AP143" s="42"/>
      <c r="AQ143" s="42"/>
      <c r="AR143" s="42"/>
      <c r="AS143" s="42"/>
      <c r="AT143" s="55"/>
      <c r="AU143" s="57"/>
      <c r="AV143" s="57"/>
      <c r="AW143" s="57"/>
      <c r="AX143" s="57"/>
      <c r="AY143" s="57"/>
      <c r="AZ143" s="57"/>
      <c r="BA143" s="57"/>
      <c r="BB143" s="58"/>
      <c r="BC143" s="57"/>
      <c r="BD143" s="58"/>
      <c r="BE143" s="57"/>
      <c r="BF143" s="57"/>
      <c r="BG143" s="57"/>
      <c r="BH143" s="57"/>
      <c r="BI143" s="54"/>
      <c r="BJ143" s="53"/>
      <c r="BK143" s="53"/>
      <c r="BL143" s="59"/>
      <c r="BM143" s="59"/>
      <c r="BN143" s="59"/>
      <c r="BO143" s="59"/>
      <c r="BP143" s="60"/>
      <c r="BQ143" s="59"/>
      <c r="BR143" s="59"/>
      <c r="BS143" s="59"/>
      <c r="BT143" s="59"/>
      <c r="BU143" s="59"/>
      <c r="BV143" s="59"/>
      <c r="BW143" s="59"/>
      <c r="BX143" s="60"/>
      <c r="BY143" s="61"/>
      <c r="BZ143" s="61"/>
      <c r="CA143" s="61"/>
      <c r="CB143" s="61"/>
      <c r="CC143" s="61"/>
      <c r="CD143" s="61" t="str">
        <f>CD3*60</f>
        <v>0</v>
      </c>
      <c r="CE143" s="61"/>
      <c r="CF143" s="61"/>
      <c r="CG143" s="55"/>
      <c r="CH143" s="55"/>
      <c r="CI143" s="28"/>
      <c r="CJ143" s="49"/>
      <c r="CK143" s="50" t="str">
        <f t="shared" si="1"/>
        <v>0</v>
      </c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</row>
    <row r="144" ht="15.75" customHeight="1">
      <c r="A144" s="51" t="s">
        <v>369</v>
      </c>
      <c r="B144" s="52" t="s">
        <v>370</v>
      </c>
      <c r="C144" s="53"/>
      <c r="D144" s="54"/>
      <c r="E144" s="53"/>
      <c r="F144" s="54"/>
      <c r="G144" s="53"/>
      <c r="H144" s="53"/>
      <c r="I144" s="54"/>
      <c r="J144" s="53"/>
      <c r="K144" s="53"/>
      <c r="L144" s="54"/>
      <c r="M144" s="54"/>
      <c r="N144" s="54"/>
      <c r="O144" s="53"/>
      <c r="P144" s="53"/>
      <c r="Q144" s="53"/>
      <c r="R144" s="53"/>
      <c r="S144" s="54"/>
      <c r="T144" s="53"/>
      <c r="U144" s="54"/>
      <c r="V144" s="54"/>
      <c r="W144" s="42"/>
      <c r="X144" s="42"/>
      <c r="Y144" s="42"/>
      <c r="Z144" s="55"/>
      <c r="AA144" s="42"/>
      <c r="AB144" s="42"/>
      <c r="AC144" s="42"/>
      <c r="AD144" s="42"/>
      <c r="AE144" s="42"/>
      <c r="AF144" s="55"/>
      <c r="AG144" s="55"/>
      <c r="AH144" s="42"/>
      <c r="AI144" s="20"/>
      <c r="AJ144" s="56"/>
      <c r="AK144" s="42"/>
      <c r="AL144" s="42"/>
      <c r="AM144" s="55"/>
      <c r="AN144" s="42"/>
      <c r="AO144" s="42"/>
      <c r="AP144" s="42"/>
      <c r="AQ144" s="42"/>
      <c r="AR144" s="42"/>
      <c r="AS144" s="42"/>
      <c r="AT144" s="55"/>
      <c r="AU144" s="57"/>
      <c r="AV144" s="57"/>
      <c r="AW144" s="57"/>
      <c r="AX144" s="57"/>
      <c r="AY144" s="57"/>
      <c r="AZ144" s="57"/>
      <c r="BA144" s="57"/>
      <c r="BB144" s="58"/>
      <c r="BC144" s="57"/>
      <c r="BD144" s="58"/>
      <c r="BE144" s="57"/>
      <c r="BF144" s="57"/>
      <c r="BG144" s="57"/>
      <c r="BH144" s="57"/>
      <c r="BI144" s="54"/>
      <c r="BJ144" s="53"/>
      <c r="BK144" s="53"/>
      <c r="BL144" s="59"/>
      <c r="BM144" s="59"/>
      <c r="BN144" s="59"/>
      <c r="BO144" s="59"/>
      <c r="BP144" s="60"/>
      <c r="BQ144" s="59"/>
      <c r="BR144" s="59"/>
      <c r="BS144" s="59"/>
      <c r="BT144" s="59"/>
      <c r="BU144" s="59"/>
      <c r="BV144" s="59"/>
      <c r="BW144" s="59"/>
      <c r="BX144" s="60"/>
      <c r="BY144" s="61"/>
      <c r="BZ144" s="61"/>
      <c r="CA144" s="61"/>
      <c r="CB144" s="61"/>
      <c r="CC144" s="61"/>
      <c r="CD144" s="61"/>
      <c r="CE144" s="61"/>
      <c r="CF144" s="61"/>
      <c r="CG144" s="55"/>
      <c r="CH144" s="55"/>
      <c r="CI144" s="28"/>
      <c r="CJ144" s="49"/>
      <c r="CK144" s="50" t="str">
        <f t="shared" si="1"/>
        <v>0</v>
      </c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</row>
    <row r="145" ht="15.75" customHeight="1">
      <c r="A145" s="62" t="s">
        <v>371</v>
      </c>
      <c r="B145" s="63" t="s">
        <v>372</v>
      </c>
      <c r="C145" s="53"/>
      <c r="D145" s="54"/>
      <c r="E145" s="53"/>
      <c r="F145" s="54"/>
      <c r="G145" s="53" t="str">
        <f>G3*429</f>
        <v>429</v>
      </c>
      <c r="H145" s="53" t="str">
        <f>H3*30</f>
        <v>30</v>
      </c>
      <c r="I145" s="54"/>
      <c r="J145" s="53"/>
      <c r="K145" s="53"/>
      <c r="L145" s="54"/>
      <c r="M145" s="54"/>
      <c r="N145" s="54"/>
      <c r="O145" s="53" t="str">
        <f>O3*435</f>
        <v>0</v>
      </c>
      <c r="P145" s="53"/>
      <c r="Q145" s="53"/>
      <c r="R145" s="53"/>
      <c r="S145" s="54"/>
      <c r="T145" s="53"/>
      <c r="U145" s="54"/>
      <c r="V145" s="54"/>
      <c r="W145" s="42"/>
      <c r="X145" s="42" t="str">
        <f>392*X3</f>
        <v>392</v>
      </c>
      <c r="Y145" s="42"/>
      <c r="Z145" s="55"/>
      <c r="AA145" s="42" t="str">
        <f>165.4*AA3</f>
        <v>330.8</v>
      </c>
      <c r="AB145" s="42" t="str">
        <f>AB3*380</f>
        <v>0</v>
      </c>
      <c r="AC145" s="42"/>
      <c r="AD145" s="42"/>
      <c r="AE145" s="42" t="str">
        <f>83.6*AE3</f>
        <v>83.6</v>
      </c>
      <c r="AF145" s="55"/>
      <c r="AG145" s="55"/>
      <c r="AH145" s="42"/>
      <c r="AI145" s="20"/>
      <c r="AJ145" s="56"/>
      <c r="AK145" s="42"/>
      <c r="AL145" s="42" t="str">
        <f>AL3*280.9</f>
        <v>0</v>
      </c>
      <c r="AM145" s="55"/>
      <c r="AN145" s="42"/>
      <c r="AO145" s="42"/>
      <c r="AP145" s="42"/>
      <c r="AQ145" s="42"/>
      <c r="AR145" s="42"/>
      <c r="AS145" s="42" t="str">
        <f>AS3*500</f>
        <v>0</v>
      </c>
      <c r="AT145" s="55"/>
      <c r="AU145" s="57"/>
      <c r="AV145" s="57"/>
      <c r="AW145" s="57"/>
      <c r="AX145" s="57"/>
      <c r="AY145" s="57"/>
      <c r="AZ145" s="57"/>
      <c r="BA145" s="57"/>
      <c r="BB145" s="58"/>
      <c r="BC145" s="57"/>
      <c r="BD145" s="58"/>
      <c r="BE145" s="57"/>
      <c r="BF145" s="57"/>
      <c r="BG145" s="57"/>
      <c r="BH145" s="57"/>
      <c r="BI145" s="54"/>
      <c r="BJ145" s="53"/>
      <c r="BK145" s="53"/>
      <c r="BL145" s="59"/>
      <c r="BM145" s="59"/>
      <c r="BN145" s="59" t="str">
        <f>BN3*2.8</f>
        <v>0</v>
      </c>
      <c r="BO145" s="59" t="str">
        <f>BO3*11.2</f>
        <v>0</v>
      </c>
      <c r="BP145" s="60"/>
      <c r="BQ145" s="59"/>
      <c r="BR145" s="59"/>
      <c r="BS145" s="59"/>
      <c r="BT145" s="59"/>
      <c r="BU145" s="59"/>
      <c r="BV145" s="59"/>
      <c r="BW145" s="59"/>
      <c r="BX145" s="60"/>
      <c r="BY145" s="61"/>
      <c r="BZ145" s="61"/>
      <c r="CA145" s="61"/>
      <c r="CB145" s="61"/>
      <c r="CC145" s="61"/>
      <c r="CD145" s="61"/>
      <c r="CE145" s="61"/>
      <c r="CF145" s="61"/>
      <c r="CG145" s="55"/>
      <c r="CH145" s="55"/>
      <c r="CI145" s="28"/>
      <c r="CJ145" s="49"/>
      <c r="CK145" s="50" t="str">
        <f t="shared" si="1"/>
        <v>1265.4</v>
      </c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</row>
    <row r="146" ht="15.75" customHeight="1">
      <c r="A146" s="51" t="s">
        <v>373</v>
      </c>
      <c r="B146" s="52" t="s">
        <v>374</v>
      </c>
      <c r="C146" s="53"/>
      <c r="D146" s="54"/>
      <c r="E146" s="53"/>
      <c r="F146" s="54"/>
      <c r="G146" s="53" t="str">
        <f>G3*187.2</f>
        <v>187.2</v>
      </c>
      <c r="H146" s="53"/>
      <c r="I146" s="54"/>
      <c r="J146" s="53"/>
      <c r="K146" s="53"/>
      <c r="L146" s="54"/>
      <c r="M146" s="54"/>
      <c r="N146" s="54"/>
      <c r="O146" s="53"/>
      <c r="P146" s="53"/>
      <c r="Q146" s="53"/>
      <c r="R146" s="53"/>
      <c r="S146" s="54"/>
      <c r="T146" s="53"/>
      <c r="U146" s="54"/>
      <c r="V146" s="54"/>
      <c r="W146" s="42"/>
      <c r="X146" s="42"/>
      <c r="Y146" s="42"/>
      <c r="Z146" s="55"/>
      <c r="AA146" s="42" t="str">
        <f>120*AA3</f>
        <v>240</v>
      </c>
      <c r="AB146" s="42" t="str">
        <f>AB3*350</f>
        <v>0</v>
      </c>
      <c r="AC146" s="42"/>
      <c r="AD146" s="42"/>
      <c r="AE146" s="42"/>
      <c r="AF146" s="55"/>
      <c r="AG146" s="55"/>
      <c r="AH146" s="42"/>
      <c r="AI146" s="20"/>
      <c r="AJ146" s="56"/>
      <c r="AK146" s="42"/>
      <c r="AL146" s="42"/>
      <c r="AM146" s="55"/>
      <c r="AN146" s="42"/>
      <c r="AO146" s="42"/>
      <c r="AP146" s="42"/>
      <c r="AQ146" s="42"/>
      <c r="AR146" s="42"/>
      <c r="AS146" s="42" t="str">
        <f>AS3*100</f>
        <v>0</v>
      </c>
      <c r="AT146" s="55"/>
      <c r="AU146" s="57"/>
      <c r="AV146" s="57"/>
      <c r="AW146" s="57"/>
      <c r="AX146" s="57"/>
      <c r="AY146" s="57"/>
      <c r="AZ146" s="57"/>
      <c r="BA146" s="57"/>
      <c r="BB146" s="58"/>
      <c r="BC146" s="57"/>
      <c r="BD146" s="58"/>
      <c r="BE146" s="57"/>
      <c r="BF146" s="57"/>
      <c r="BG146" s="57"/>
      <c r="BH146" s="57"/>
      <c r="BI146" s="54"/>
      <c r="BJ146" s="53"/>
      <c r="BK146" s="53"/>
      <c r="BL146" s="59"/>
      <c r="BM146" s="59"/>
      <c r="BN146" s="59"/>
      <c r="BO146" s="59"/>
      <c r="BP146" s="60"/>
      <c r="BQ146" s="59"/>
      <c r="BR146" s="59"/>
      <c r="BS146" s="59"/>
      <c r="BT146" s="59"/>
      <c r="BU146" s="59"/>
      <c r="BV146" s="59"/>
      <c r="BW146" s="59"/>
      <c r="BX146" s="60"/>
      <c r="BY146" s="61"/>
      <c r="BZ146" s="61"/>
      <c r="CA146" s="61"/>
      <c r="CB146" s="61"/>
      <c r="CC146" s="61"/>
      <c r="CD146" s="61"/>
      <c r="CE146" s="61"/>
      <c r="CF146" s="61"/>
      <c r="CG146" s="55"/>
      <c r="CH146" s="55"/>
      <c r="CI146" s="28"/>
      <c r="CJ146" s="49"/>
      <c r="CK146" s="50" t="str">
        <f t="shared" si="1"/>
        <v>427.2</v>
      </c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</row>
    <row r="147" ht="15.75" customHeight="1">
      <c r="A147" s="62" t="s">
        <v>375</v>
      </c>
      <c r="B147" s="63" t="s">
        <v>376</v>
      </c>
      <c r="C147" s="53"/>
      <c r="D147" s="54"/>
      <c r="E147" s="53"/>
      <c r="F147" s="54"/>
      <c r="G147" s="53"/>
      <c r="H147" s="53"/>
      <c r="I147" s="54"/>
      <c r="J147" s="53"/>
      <c r="K147" s="53"/>
      <c r="L147" s="54"/>
      <c r="M147" s="54"/>
      <c r="N147" s="54"/>
      <c r="O147" s="53"/>
      <c r="P147" s="53"/>
      <c r="Q147" s="53"/>
      <c r="R147" s="53"/>
      <c r="S147" s="54"/>
      <c r="T147" s="53"/>
      <c r="U147" s="54"/>
      <c r="V147" s="54"/>
      <c r="W147" s="42"/>
      <c r="X147" s="42"/>
      <c r="Y147" s="42"/>
      <c r="Z147" s="55"/>
      <c r="AA147" s="42"/>
      <c r="AB147" s="42"/>
      <c r="AC147" s="42"/>
      <c r="AD147" s="42"/>
      <c r="AE147" s="42"/>
      <c r="AF147" s="55"/>
      <c r="AG147" s="55"/>
      <c r="AH147" s="42"/>
      <c r="AI147" s="20"/>
      <c r="AJ147" s="56"/>
      <c r="AK147" s="42" t="str">
        <f>AK3*1000</f>
        <v>0</v>
      </c>
      <c r="AL147" s="42"/>
      <c r="AM147" s="55"/>
      <c r="AN147" s="42"/>
      <c r="AO147" s="42"/>
      <c r="AP147" s="42"/>
      <c r="AQ147" s="42"/>
      <c r="AR147" s="42"/>
      <c r="AS147" s="42"/>
      <c r="AT147" s="55"/>
      <c r="AU147" s="57"/>
      <c r="AV147" s="57"/>
      <c r="AW147" s="57"/>
      <c r="AX147" s="57"/>
      <c r="AY147" s="57"/>
      <c r="AZ147" s="57"/>
      <c r="BA147" s="57"/>
      <c r="BB147" s="58"/>
      <c r="BC147" s="57"/>
      <c r="BD147" s="58"/>
      <c r="BE147" s="57"/>
      <c r="BF147" s="57"/>
      <c r="BG147" s="57"/>
      <c r="BH147" s="57"/>
      <c r="BI147" s="54"/>
      <c r="BJ147" s="53"/>
      <c r="BK147" s="53"/>
      <c r="BL147" s="59"/>
      <c r="BM147" s="59"/>
      <c r="BN147" s="59"/>
      <c r="BO147" s="59"/>
      <c r="BP147" s="60"/>
      <c r="BQ147" s="59"/>
      <c r="BR147" s="59"/>
      <c r="BS147" s="59"/>
      <c r="BT147" s="59"/>
      <c r="BU147" s="59"/>
      <c r="BV147" s="59"/>
      <c r="BW147" s="59"/>
      <c r="BX147" s="60"/>
      <c r="BY147" s="61"/>
      <c r="BZ147" s="61"/>
      <c r="CA147" s="61"/>
      <c r="CB147" s="61"/>
      <c r="CC147" s="61"/>
      <c r="CD147" s="61"/>
      <c r="CE147" s="61"/>
      <c r="CF147" s="61"/>
      <c r="CG147" s="55"/>
      <c r="CH147" s="55"/>
      <c r="CI147" s="28"/>
      <c r="CJ147" s="49"/>
      <c r="CK147" s="50" t="str">
        <f t="shared" si="1"/>
        <v>0</v>
      </c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ht="15.75" customHeight="1">
      <c r="A148" s="51" t="s">
        <v>377</v>
      </c>
      <c r="B148" s="52" t="s">
        <v>378</v>
      </c>
      <c r="C148" s="53"/>
      <c r="D148" s="54"/>
      <c r="E148" s="53"/>
      <c r="F148" s="54"/>
      <c r="G148" s="53"/>
      <c r="H148" s="53"/>
      <c r="I148" s="54"/>
      <c r="J148" s="53"/>
      <c r="K148" s="53"/>
      <c r="L148" s="54"/>
      <c r="M148" s="54"/>
      <c r="N148" s="54"/>
      <c r="O148" s="53"/>
      <c r="P148" s="53"/>
      <c r="Q148" s="53"/>
      <c r="R148" s="53"/>
      <c r="S148" s="54"/>
      <c r="T148" s="53"/>
      <c r="U148" s="54"/>
      <c r="V148" s="54"/>
      <c r="W148" s="42"/>
      <c r="X148" s="42"/>
      <c r="Y148" s="42"/>
      <c r="Z148" s="55"/>
      <c r="AA148" s="42"/>
      <c r="AB148" s="42"/>
      <c r="AC148" s="42"/>
      <c r="AD148" s="42"/>
      <c r="AE148" s="42"/>
      <c r="AF148" s="55"/>
      <c r="AG148" s="55"/>
      <c r="AH148" s="42"/>
      <c r="AI148" s="20"/>
      <c r="AJ148" s="56"/>
      <c r="AK148" s="42"/>
      <c r="AL148" s="42"/>
      <c r="AM148" s="55"/>
      <c r="AN148" s="42"/>
      <c r="AO148" s="42"/>
      <c r="AP148" s="42"/>
      <c r="AQ148" s="42"/>
      <c r="AR148" s="42"/>
      <c r="AS148" s="42"/>
      <c r="AT148" s="55"/>
      <c r="AU148" s="57"/>
      <c r="AV148" s="57"/>
      <c r="AW148" s="57"/>
      <c r="AX148" s="57"/>
      <c r="AY148" s="57"/>
      <c r="AZ148" s="57"/>
      <c r="BA148" s="57"/>
      <c r="BB148" s="58"/>
      <c r="BC148" s="57"/>
      <c r="BD148" s="58"/>
      <c r="BE148" s="57"/>
      <c r="BF148" s="57"/>
      <c r="BG148" s="57"/>
      <c r="BH148" s="57"/>
      <c r="BI148" s="54"/>
      <c r="BJ148" s="53"/>
      <c r="BK148" s="53" t="str">
        <f>BK3*1070</f>
        <v>0</v>
      </c>
      <c r="BL148" s="59"/>
      <c r="BM148" s="59"/>
      <c r="BN148" s="59"/>
      <c r="BO148" s="59"/>
      <c r="BP148" s="60"/>
      <c r="BQ148" s="59"/>
      <c r="BR148" s="59"/>
      <c r="BS148" s="59"/>
      <c r="BT148" s="59"/>
      <c r="BU148" s="59"/>
      <c r="BV148" s="59"/>
      <c r="BW148" s="59"/>
      <c r="BX148" s="60"/>
      <c r="BY148" s="61"/>
      <c r="BZ148" s="61"/>
      <c r="CA148" s="61"/>
      <c r="CB148" s="61"/>
      <c r="CC148" s="61"/>
      <c r="CD148" s="61"/>
      <c r="CE148" s="61"/>
      <c r="CF148" s="61"/>
      <c r="CG148" s="55"/>
      <c r="CH148" s="55"/>
      <c r="CI148" s="28"/>
      <c r="CJ148" s="49"/>
      <c r="CK148" s="50" t="str">
        <f t="shared" si="1"/>
        <v>0</v>
      </c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</row>
    <row r="149" ht="15.75" customHeight="1">
      <c r="A149" s="62" t="s">
        <v>379</v>
      </c>
      <c r="B149" s="63" t="s">
        <v>380</v>
      </c>
      <c r="C149" s="53"/>
      <c r="D149" s="54"/>
      <c r="E149" s="53"/>
      <c r="F149" s="54"/>
      <c r="G149" s="53"/>
      <c r="H149" s="53"/>
      <c r="I149" s="54"/>
      <c r="J149" s="53"/>
      <c r="K149" s="53"/>
      <c r="L149" s="54" t="str">
        <f>100*L3</f>
        <v>100</v>
      </c>
      <c r="M149" s="54"/>
      <c r="N149" s="54"/>
      <c r="O149" s="53"/>
      <c r="P149" s="53"/>
      <c r="Q149" s="53"/>
      <c r="R149" s="53"/>
      <c r="S149" s="54"/>
      <c r="T149" s="53"/>
      <c r="U149" s="54"/>
      <c r="V149" s="54"/>
      <c r="W149" s="42"/>
      <c r="X149" s="42"/>
      <c r="Y149" s="42"/>
      <c r="Z149" s="55"/>
      <c r="AA149" s="42"/>
      <c r="AB149" s="42"/>
      <c r="AC149" s="42"/>
      <c r="AD149" s="42"/>
      <c r="AE149" s="42"/>
      <c r="AF149" s="55"/>
      <c r="AG149" s="55"/>
      <c r="AH149" s="42"/>
      <c r="AI149" s="20"/>
      <c r="AJ149" s="56"/>
      <c r="AK149" s="42"/>
      <c r="AL149" s="42"/>
      <c r="AM149" s="55"/>
      <c r="AN149" s="42"/>
      <c r="AO149" s="42"/>
      <c r="AP149" s="42"/>
      <c r="AQ149" s="42"/>
      <c r="AR149" s="42"/>
      <c r="AS149" s="42"/>
      <c r="AT149" s="55"/>
      <c r="AU149" s="57"/>
      <c r="AV149" s="57"/>
      <c r="AW149" s="57"/>
      <c r="AX149" s="57"/>
      <c r="AY149" s="57"/>
      <c r="AZ149" s="57"/>
      <c r="BA149" s="57"/>
      <c r="BB149" s="58"/>
      <c r="BC149" s="57"/>
      <c r="BD149" s="58"/>
      <c r="BE149" s="57"/>
      <c r="BF149" s="57"/>
      <c r="BG149" s="57"/>
      <c r="BH149" s="57"/>
      <c r="BI149" s="54"/>
      <c r="BJ149" s="53"/>
      <c r="BK149" s="53"/>
      <c r="BL149" s="59"/>
      <c r="BM149" s="59"/>
      <c r="BN149" s="59"/>
      <c r="BO149" s="59"/>
      <c r="BP149" s="60"/>
      <c r="BQ149" s="59"/>
      <c r="BR149" s="59"/>
      <c r="BS149" s="59"/>
      <c r="BT149" s="59"/>
      <c r="BU149" s="59"/>
      <c r="BV149" s="59"/>
      <c r="BW149" s="59"/>
      <c r="BX149" s="60"/>
      <c r="BY149" s="61"/>
      <c r="BZ149" s="61"/>
      <c r="CA149" s="61"/>
      <c r="CB149" s="61"/>
      <c r="CC149" s="61"/>
      <c r="CD149" s="61"/>
      <c r="CE149" s="61"/>
      <c r="CF149" s="61"/>
      <c r="CG149" s="55"/>
      <c r="CH149" s="55"/>
      <c r="CI149" s="28"/>
      <c r="CJ149" s="49"/>
      <c r="CK149" s="50" t="str">
        <f t="shared" si="1"/>
        <v>100</v>
      </c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ht="15.75" customHeight="1">
      <c r="A150" s="52" t="s">
        <v>381</v>
      </c>
      <c r="B150" s="52" t="s">
        <v>382</v>
      </c>
      <c r="C150" s="53"/>
      <c r="D150" s="54"/>
      <c r="E150" s="53"/>
      <c r="F150" s="54"/>
      <c r="G150" s="53"/>
      <c r="H150" s="53"/>
      <c r="I150" s="54"/>
      <c r="J150" s="53"/>
      <c r="K150" s="53"/>
      <c r="L150" s="54"/>
      <c r="M150" s="54"/>
      <c r="N150" s="54"/>
      <c r="O150" s="53"/>
      <c r="P150" s="53"/>
      <c r="Q150" s="53"/>
      <c r="R150" s="53"/>
      <c r="S150" s="54"/>
      <c r="T150" s="53"/>
      <c r="U150" s="54"/>
      <c r="V150" s="54"/>
      <c r="W150" s="42"/>
      <c r="X150" s="42"/>
      <c r="Y150" s="42"/>
      <c r="Z150" s="55"/>
      <c r="AA150" s="42"/>
      <c r="AB150" s="42"/>
      <c r="AC150" s="42"/>
      <c r="AD150" s="42"/>
      <c r="AE150" s="42"/>
      <c r="AF150" s="55"/>
      <c r="AG150" s="55"/>
      <c r="AH150" s="42"/>
      <c r="AI150" s="20"/>
      <c r="AJ150" s="56"/>
      <c r="AK150" s="42"/>
      <c r="AL150" s="42"/>
      <c r="AM150" s="55"/>
      <c r="AN150" s="42"/>
      <c r="AO150" s="42"/>
      <c r="AP150" s="42"/>
      <c r="AQ150" s="42"/>
      <c r="AR150" s="42"/>
      <c r="AS150" s="42"/>
      <c r="AT150" s="55" t="str">
        <f>AT3*1000</f>
        <v>0</v>
      </c>
      <c r="AU150" s="57"/>
      <c r="AV150" s="57"/>
      <c r="AW150" s="57"/>
      <c r="AX150" s="57"/>
      <c r="AY150" s="57"/>
      <c r="AZ150" s="57"/>
      <c r="BA150" s="57"/>
      <c r="BB150" s="58"/>
      <c r="BC150" s="57"/>
      <c r="BD150" s="58"/>
      <c r="BE150" s="57"/>
      <c r="BF150" s="57"/>
      <c r="BG150" s="57"/>
      <c r="BH150" s="57"/>
      <c r="BI150" s="54"/>
      <c r="BJ150" s="53"/>
      <c r="BK150" s="53"/>
      <c r="BL150" s="59"/>
      <c r="BM150" s="59"/>
      <c r="BN150" s="59"/>
      <c r="BO150" s="59"/>
      <c r="BP150" s="60"/>
      <c r="BQ150" s="59"/>
      <c r="BR150" s="59"/>
      <c r="BS150" s="59"/>
      <c r="BT150" s="59"/>
      <c r="BU150" s="59"/>
      <c r="BV150" s="59"/>
      <c r="BW150" s="59"/>
      <c r="BX150" s="60"/>
      <c r="BY150" s="61"/>
      <c r="BZ150" s="61"/>
      <c r="CA150" s="61"/>
      <c r="CB150" s="61"/>
      <c r="CC150" s="61"/>
      <c r="CD150" s="61"/>
      <c r="CE150" s="61"/>
      <c r="CF150" s="61"/>
      <c r="CG150" s="55"/>
      <c r="CH150" s="55"/>
      <c r="CI150" s="28"/>
      <c r="CJ150" s="49"/>
      <c r="CK150" s="50" t="str">
        <f t="shared" si="1"/>
        <v>0</v>
      </c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</row>
    <row r="151" ht="15.75" customHeight="1">
      <c r="A151" s="62" t="s">
        <v>383</v>
      </c>
      <c r="B151" s="63" t="s">
        <v>384</v>
      </c>
      <c r="C151" s="53"/>
      <c r="D151" s="54"/>
      <c r="E151" s="53"/>
      <c r="F151" s="54"/>
      <c r="G151" s="53"/>
      <c r="H151" s="53"/>
      <c r="I151" s="54"/>
      <c r="J151" s="53"/>
      <c r="K151" s="53"/>
      <c r="L151" s="54"/>
      <c r="M151" s="54"/>
      <c r="N151" s="54"/>
      <c r="O151" s="53"/>
      <c r="P151" s="53"/>
      <c r="Q151" s="53"/>
      <c r="R151" s="53"/>
      <c r="S151" s="54"/>
      <c r="T151" s="53"/>
      <c r="U151" s="54"/>
      <c r="V151" s="54"/>
      <c r="W151" s="42"/>
      <c r="X151" s="42"/>
      <c r="Y151" s="42"/>
      <c r="Z151" s="55"/>
      <c r="AA151" s="42"/>
      <c r="AB151" s="42"/>
      <c r="AC151" s="42"/>
      <c r="AD151" s="42"/>
      <c r="AE151" s="42"/>
      <c r="AF151" s="55"/>
      <c r="AG151" s="55"/>
      <c r="AH151" s="42"/>
      <c r="AI151" s="20"/>
      <c r="AJ151" s="56"/>
      <c r="AK151" s="42"/>
      <c r="AL151" s="42"/>
      <c r="AM151" s="55"/>
      <c r="AN151" s="42"/>
      <c r="AO151" s="42"/>
      <c r="AP151" s="42"/>
      <c r="AQ151" s="42"/>
      <c r="AR151" s="42"/>
      <c r="AS151" s="42"/>
      <c r="AT151" s="55"/>
      <c r="AU151" s="57" t="str">
        <f>AU3*20</f>
        <v>20</v>
      </c>
      <c r="AV151" s="57"/>
      <c r="AW151" s="57"/>
      <c r="AX151" s="57"/>
      <c r="AY151" s="57"/>
      <c r="AZ151" s="57"/>
      <c r="BA151" s="57"/>
      <c r="BB151" s="58"/>
      <c r="BC151" s="57"/>
      <c r="BD151" s="58"/>
      <c r="BE151" s="57"/>
      <c r="BF151" s="57"/>
      <c r="BG151" s="57"/>
      <c r="BH151" s="57"/>
      <c r="BI151" s="54"/>
      <c r="BJ151" s="53" t="str">
        <f t="shared" ref="BJ151:BJ152" si="23">BJ3*2</f>
        <v>2</v>
      </c>
      <c r="BK151" s="53"/>
      <c r="BL151" s="59"/>
      <c r="BM151" s="59"/>
      <c r="BN151" s="59"/>
      <c r="BO151" s="59"/>
      <c r="BP151" s="60"/>
      <c r="BQ151" s="59"/>
      <c r="BR151" s="59"/>
      <c r="BS151" s="59"/>
      <c r="BT151" s="59"/>
      <c r="BU151" s="59"/>
      <c r="BV151" s="59"/>
      <c r="BW151" s="59"/>
      <c r="BX151" s="60"/>
      <c r="BY151" s="61"/>
      <c r="BZ151" s="61"/>
      <c r="CA151" s="61"/>
      <c r="CB151" s="61"/>
      <c r="CC151" s="61"/>
      <c r="CD151" s="61"/>
      <c r="CE151" s="61"/>
      <c r="CF151" s="61"/>
      <c r="CG151" s="55"/>
      <c r="CH151" s="55"/>
      <c r="CI151" s="28"/>
      <c r="CJ151" s="49"/>
      <c r="CK151" s="50" t="str">
        <f t="shared" si="1"/>
        <v>22</v>
      </c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</row>
    <row r="152" ht="15.75" customHeight="1">
      <c r="A152" s="52" t="s">
        <v>385</v>
      </c>
      <c r="B152" s="52" t="s">
        <v>386</v>
      </c>
      <c r="C152" s="53"/>
      <c r="D152" s="54"/>
      <c r="E152" s="53"/>
      <c r="F152" s="54"/>
      <c r="G152" s="53"/>
      <c r="H152" s="53"/>
      <c r="I152" s="54"/>
      <c r="J152" s="53"/>
      <c r="K152" s="53"/>
      <c r="L152" s="54"/>
      <c r="M152" s="54"/>
      <c r="N152" s="54"/>
      <c r="O152" s="53"/>
      <c r="P152" s="53"/>
      <c r="Q152" s="53"/>
      <c r="R152" s="53"/>
      <c r="S152" s="54"/>
      <c r="T152" s="53"/>
      <c r="U152" s="54"/>
      <c r="V152" s="54"/>
      <c r="W152" s="42"/>
      <c r="X152" s="42"/>
      <c r="Y152" s="42"/>
      <c r="Z152" s="55"/>
      <c r="AA152" s="42"/>
      <c r="AB152" s="42"/>
      <c r="AC152" s="42"/>
      <c r="AD152" s="42"/>
      <c r="AE152" s="42"/>
      <c r="AF152" s="55"/>
      <c r="AG152" s="55"/>
      <c r="AH152" s="42"/>
      <c r="AI152" s="20"/>
      <c r="AJ152" s="56"/>
      <c r="AK152" s="42"/>
      <c r="AL152" s="42"/>
      <c r="AM152" s="55"/>
      <c r="AN152" s="42"/>
      <c r="AO152" s="42"/>
      <c r="AP152" s="42"/>
      <c r="AQ152" s="42"/>
      <c r="AR152" s="42"/>
      <c r="AS152" s="42"/>
      <c r="AT152" s="55"/>
      <c r="AU152" s="57"/>
      <c r="AV152" s="57"/>
      <c r="AW152" s="57"/>
      <c r="AX152" s="57"/>
      <c r="AY152" s="57"/>
      <c r="AZ152" s="57"/>
      <c r="BA152" s="57"/>
      <c r="BB152" s="58"/>
      <c r="BC152" s="57"/>
      <c r="BD152" s="58"/>
      <c r="BE152" s="57"/>
      <c r="BF152" s="57"/>
      <c r="BG152" s="57"/>
      <c r="BH152" s="57"/>
      <c r="BI152" s="54"/>
      <c r="BJ152" s="53" t="str">
        <f t="shared" si="23"/>
        <v>0</v>
      </c>
      <c r="BK152" s="53"/>
      <c r="BL152" s="59" t="str">
        <f t="shared" ref="BL152:BM152" si="24">BL3*0</f>
        <v>0</v>
      </c>
      <c r="BM152" s="59" t="str">
        <f t="shared" si="24"/>
        <v>0</v>
      </c>
      <c r="BN152" s="59"/>
      <c r="BO152" s="59"/>
      <c r="BP152" s="60"/>
      <c r="BQ152" s="59"/>
      <c r="BR152" s="59"/>
      <c r="BS152" s="59"/>
      <c r="BT152" s="59"/>
      <c r="BU152" s="59"/>
      <c r="BV152" s="59"/>
      <c r="BW152" s="59"/>
      <c r="BX152" s="60"/>
      <c r="BY152" s="61"/>
      <c r="BZ152" s="61"/>
      <c r="CA152" s="61"/>
      <c r="CB152" s="61"/>
      <c r="CC152" s="61"/>
      <c r="CD152" s="61"/>
      <c r="CE152" s="61"/>
      <c r="CF152" s="61"/>
      <c r="CG152" s="55"/>
      <c r="CH152" s="55"/>
      <c r="CI152" s="28"/>
      <c r="CJ152" s="49"/>
      <c r="CK152" s="50" t="str">
        <f t="shared" si="1"/>
        <v>0</v>
      </c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</row>
    <row r="153" ht="15.75" customHeight="1">
      <c r="A153" s="63" t="s">
        <v>387</v>
      </c>
      <c r="B153" s="63" t="s">
        <v>388</v>
      </c>
      <c r="C153" s="53"/>
      <c r="D153" s="54"/>
      <c r="E153" s="53"/>
      <c r="F153" s="54"/>
      <c r="G153" s="53"/>
      <c r="H153" s="53"/>
      <c r="I153" s="54"/>
      <c r="J153" s="53"/>
      <c r="K153" s="53"/>
      <c r="L153" s="54"/>
      <c r="M153" s="54"/>
      <c r="N153" s="54"/>
      <c r="O153" s="53"/>
      <c r="P153" s="53"/>
      <c r="Q153" s="53"/>
      <c r="R153" s="53"/>
      <c r="S153" s="54"/>
      <c r="T153" s="53"/>
      <c r="U153" s="54"/>
      <c r="V153" s="54"/>
      <c r="W153" s="42"/>
      <c r="X153" s="42"/>
      <c r="Y153" s="42"/>
      <c r="Z153" s="55"/>
      <c r="AA153" s="42"/>
      <c r="AB153" s="42"/>
      <c r="AC153" s="42"/>
      <c r="AD153" s="42"/>
      <c r="AE153" s="42"/>
      <c r="AF153" s="55"/>
      <c r="AG153" s="55"/>
      <c r="AH153" s="42"/>
      <c r="AI153" s="20"/>
      <c r="AJ153" s="56"/>
      <c r="AK153" s="42"/>
      <c r="AL153" s="42"/>
      <c r="AM153" s="55"/>
      <c r="AN153" s="42"/>
      <c r="AO153" s="42"/>
      <c r="AP153" s="42"/>
      <c r="AQ153" s="42"/>
      <c r="AR153" s="42"/>
      <c r="AS153" s="42"/>
      <c r="AT153" s="55"/>
      <c r="AU153" s="57"/>
      <c r="AV153" s="57"/>
      <c r="AW153" s="57"/>
      <c r="AX153" s="57"/>
      <c r="AY153" s="57"/>
      <c r="AZ153" s="57"/>
      <c r="BA153" s="57"/>
      <c r="BB153" s="58"/>
      <c r="BC153" s="57"/>
      <c r="BD153" s="58"/>
      <c r="BE153" s="57"/>
      <c r="BF153" s="57"/>
      <c r="BG153" s="57"/>
      <c r="BH153" s="57"/>
      <c r="BI153" s="54"/>
      <c r="BJ153" s="53"/>
      <c r="BK153" s="53"/>
      <c r="BL153" s="59"/>
      <c r="BM153" s="59"/>
      <c r="BN153" s="59"/>
      <c r="BO153" s="59"/>
      <c r="BP153" s="60"/>
      <c r="BQ153" s="59"/>
      <c r="BR153" s="59"/>
      <c r="BS153" s="59"/>
      <c r="BT153" s="59"/>
      <c r="BU153" s="59"/>
      <c r="BV153" s="59"/>
      <c r="BW153" s="59"/>
      <c r="BX153" s="60"/>
      <c r="BY153" s="61"/>
      <c r="BZ153" s="61"/>
      <c r="CA153" s="61"/>
      <c r="CB153" s="61"/>
      <c r="CC153" s="61"/>
      <c r="CD153" s="61"/>
      <c r="CE153" s="61"/>
      <c r="CF153" s="61"/>
      <c r="CG153" s="55"/>
      <c r="CH153" s="55" t="str">
        <f>CH3*1815</f>
        <v>5445</v>
      </c>
      <c r="CI153" s="28"/>
      <c r="CJ153" s="49"/>
      <c r="CK153" s="50" t="str">
        <f t="shared" si="1"/>
        <v>5445</v>
      </c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</row>
    <row r="154" ht="15.75" customHeight="1">
      <c r="A154" s="13"/>
      <c r="B154" s="13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32"/>
      <c r="AI154" s="20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28"/>
      <c r="CJ154" s="67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</row>
    <row r="155" ht="15.75" customHeight="1">
      <c r="A155" s="13"/>
      <c r="B155" s="13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32"/>
      <c r="AI155" s="20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28"/>
      <c r="CJ155" s="67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</row>
    <row r="156" ht="15.75" customHeight="1">
      <c r="A156" s="13"/>
      <c r="B156" s="13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32"/>
      <c r="AI156" s="20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28"/>
      <c r="CJ156" s="67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</row>
    <row r="157" ht="15.75" customHeight="1">
      <c r="A157" s="13"/>
      <c r="B157" s="13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32"/>
      <c r="AI157" s="20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28"/>
      <c r="CJ157" s="67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</row>
    <row r="158" ht="15.75" customHeight="1">
      <c r="A158" s="13"/>
      <c r="B158" s="13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32"/>
      <c r="AI158" s="20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28"/>
      <c r="CJ158" s="67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</row>
    <row r="159" ht="15.75" customHeight="1">
      <c r="A159" s="13"/>
      <c r="B159" s="13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32"/>
      <c r="AI159" s="20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28"/>
      <c r="CJ159" s="67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</row>
    <row r="160" ht="15.75" customHeight="1">
      <c r="A160" s="13"/>
      <c r="B160" s="13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32"/>
      <c r="AI160" s="20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28"/>
      <c r="CJ160" s="67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</row>
    <row r="161" ht="15.75" customHeight="1">
      <c r="A161" s="13"/>
      <c r="B161" s="13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32"/>
      <c r="AI161" s="20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28"/>
      <c r="CJ161" s="67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</row>
    <row r="162" ht="15.75" customHeight="1">
      <c r="A162" s="13"/>
      <c r="B162" s="13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32"/>
      <c r="AI162" s="20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28"/>
      <c r="CJ162" s="67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</row>
    <row r="163" ht="15.75" customHeight="1">
      <c r="A163" s="13"/>
      <c r="B163" s="13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32"/>
      <c r="AI163" s="20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28"/>
      <c r="CJ163" s="67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</row>
    <row r="164" ht="15.75" customHeight="1">
      <c r="A164" s="13"/>
      <c r="B164" s="13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32"/>
      <c r="AI164" s="20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28"/>
      <c r="CJ164" s="67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</row>
    <row r="165" ht="15.75" customHeight="1">
      <c r="A165" s="13"/>
      <c r="B165" s="13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32"/>
      <c r="AI165" s="20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28"/>
      <c r="CJ165" s="67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</row>
    <row r="166" ht="15.75" customHeight="1">
      <c r="A166" s="13"/>
      <c r="B166" s="13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32"/>
      <c r="AI166" s="20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28"/>
      <c r="CJ166" s="67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</row>
    <row r="167" ht="15.75" customHeight="1">
      <c r="A167" s="13"/>
      <c r="B167" s="13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32"/>
      <c r="AI167" s="20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28"/>
      <c r="CJ167" s="67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ht="15.75" customHeight="1">
      <c r="A168" s="13"/>
      <c r="B168" s="13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32"/>
      <c r="AI168" s="20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28"/>
      <c r="CJ168" s="67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</row>
    <row r="169" ht="15.75" customHeight="1">
      <c r="A169" s="13"/>
      <c r="B169" s="13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32"/>
      <c r="AI169" s="20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28"/>
      <c r="CJ169" s="67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</row>
    <row r="170" ht="15.75" customHeight="1">
      <c r="A170" s="13"/>
      <c r="B170" s="13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32"/>
      <c r="AI170" s="20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28"/>
      <c r="CJ170" s="67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ht="15.75" customHeight="1">
      <c r="A171" s="13"/>
      <c r="B171" s="13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32"/>
      <c r="AI171" s="20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28"/>
      <c r="CJ171" s="67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</row>
    <row r="172" ht="15.75" customHeight="1">
      <c r="A172" s="13"/>
      <c r="B172" s="13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32"/>
      <c r="AI172" s="20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28"/>
      <c r="CJ172" s="67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</row>
    <row r="173" ht="15.75" customHeight="1">
      <c r="A173" s="13"/>
      <c r="B173" s="13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32"/>
      <c r="AI173" s="20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28"/>
      <c r="CJ173" s="67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</row>
    <row r="174" ht="15.75" customHeight="1">
      <c r="A174" s="13"/>
      <c r="B174" s="13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32"/>
      <c r="AI174" s="20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28"/>
      <c r="CJ174" s="67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</row>
    <row r="175" ht="15.75" customHeight="1">
      <c r="A175" s="13"/>
      <c r="B175" s="13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32"/>
      <c r="AI175" s="20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28"/>
      <c r="CJ175" s="67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</row>
    <row r="176" ht="15.75" customHeight="1">
      <c r="A176" s="13"/>
      <c r="B176" s="13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32"/>
      <c r="AI176" s="20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28"/>
      <c r="CJ176" s="67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</row>
    <row r="177" ht="15.75" customHeight="1">
      <c r="A177" s="13"/>
      <c r="B177" s="13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32"/>
      <c r="AI177" s="20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28"/>
      <c r="CJ177" s="67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</row>
    <row r="178" ht="15.75" customHeight="1">
      <c r="A178" s="13"/>
      <c r="B178" s="13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32"/>
      <c r="AI178" s="20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28"/>
      <c r="CJ178" s="67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</row>
    <row r="179" ht="15.75" customHeight="1">
      <c r="A179" s="13"/>
      <c r="B179" s="13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32"/>
      <c r="AI179" s="20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28"/>
      <c r="CJ179" s="67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</row>
    <row r="180" ht="15.75" customHeight="1">
      <c r="A180" s="13"/>
      <c r="B180" s="13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32"/>
      <c r="AI180" s="20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28"/>
      <c r="CJ180" s="67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</row>
    <row r="181" ht="15.75" customHeight="1">
      <c r="A181" s="13"/>
      <c r="B181" s="13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32"/>
      <c r="AI181" s="20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28"/>
      <c r="CJ181" s="67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</row>
    <row r="182" ht="15.75" customHeight="1">
      <c r="A182" s="13"/>
      <c r="B182" s="13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32"/>
      <c r="AI182" s="20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28"/>
      <c r="CJ182" s="67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</row>
    <row r="183" ht="15.75" customHeight="1">
      <c r="A183" s="13"/>
      <c r="B183" s="13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32"/>
      <c r="AI183" s="20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28"/>
      <c r="CJ183" s="67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</row>
    <row r="184" ht="15.75" customHeight="1">
      <c r="A184" s="13"/>
      <c r="B184" s="13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32"/>
      <c r="AI184" s="20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28"/>
      <c r="CJ184" s="67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</row>
    <row r="185" ht="15.75" customHeight="1">
      <c r="A185" s="13"/>
      <c r="B185" s="13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32"/>
      <c r="AI185" s="20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28"/>
      <c r="CJ185" s="67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</row>
    <row r="186" ht="15.75" customHeight="1">
      <c r="A186" s="13"/>
      <c r="B186" s="13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32"/>
      <c r="AI186" s="20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28"/>
      <c r="CJ186" s="67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</row>
    <row r="187" ht="15.75" customHeight="1">
      <c r="A187" s="13"/>
      <c r="B187" s="13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32"/>
      <c r="AI187" s="20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28"/>
      <c r="CJ187" s="67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</row>
    <row r="188" ht="15.75" customHeight="1">
      <c r="A188" s="13"/>
      <c r="B188" s="13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32"/>
      <c r="AI188" s="20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28"/>
      <c r="CJ188" s="67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</row>
    <row r="189" ht="15.75" customHeight="1">
      <c r="A189" s="13"/>
      <c r="B189" s="13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32"/>
      <c r="AI189" s="20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28"/>
      <c r="CJ189" s="67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</row>
    <row r="190" ht="15.75" customHeight="1">
      <c r="A190" s="13"/>
      <c r="B190" s="13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32"/>
      <c r="AI190" s="20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28"/>
      <c r="CJ190" s="67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</row>
    <row r="191" ht="15.75" customHeight="1">
      <c r="A191" s="13"/>
      <c r="B191" s="13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32"/>
      <c r="AI191" s="20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28"/>
      <c r="CJ191" s="67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</row>
    <row r="192" ht="15.75" customHeight="1">
      <c r="A192" s="13"/>
      <c r="B192" s="13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32"/>
      <c r="AI192" s="20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28"/>
      <c r="CJ192" s="67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</row>
    <row r="193" ht="15.75" customHeight="1">
      <c r="A193" s="13"/>
      <c r="B193" s="13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32"/>
      <c r="AI193" s="20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28"/>
      <c r="CJ193" s="67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</row>
    <row r="194" ht="15.75" customHeight="1">
      <c r="A194" s="13"/>
      <c r="B194" s="13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32"/>
      <c r="AI194" s="20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28"/>
      <c r="CJ194" s="67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</row>
    <row r="195" ht="15.75" customHeight="1">
      <c r="A195" s="13"/>
      <c r="B195" s="13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32"/>
      <c r="AI195" s="20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28"/>
      <c r="CJ195" s="67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</row>
    <row r="196" ht="15.75" customHeight="1">
      <c r="A196" s="13"/>
      <c r="B196" s="13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32"/>
      <c r="AI196" s="20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28"/>
      <c r="CJ196" s="67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</row>
    <row r="197" ht="15.75" customHeight="1">
      <c r="A197" s="13"/>
      <c r="B197" s="13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32"/>
      <c r="AI197" s="20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28"/>
      <c r="CJ197" s="67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</row>
    <row r="198" ht="15.75" customHeight="1">
      <c r="A198" s="13"/>
      <c r="B198" s="13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32"/>
      <c r="AI198" s="20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28"/>
      <c r="CJ198" s="67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</row>
    <row r="199" ht="15.75" customHeight="1">
      <c r="A199" s="13"/>
      <c r="B199" s="13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32"/>
      <c r="AI199" s="20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28"/>
      <c r="CJ199" s="67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</row>
    <row r="200" ht="15.75" customHeight="1">
      <c r="A200" s="13"/>
      <c r="B200" s="13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32"/>
      <c r="AI200" s="20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28"/>
      <c r="CJ200" s="67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</row>
    <row r="201" ht="15.75" customHeight="1">
      <c r="A201" s="13"/>
      <c r="B201" s="13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32"/>
      <c r="AI201" s="20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28"/>
      <c r="CJ201" s="67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ht="15.75" customHeight="1">
      <c r="A202" s="13"/>
      <c r="B202" s="13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32"/>
      <c r="AI202" s="20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28"/>
      <c r="CJ202" s="67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</row>
    <row r="203" ht="15.75" customHeight="1">
      <c r="A203" s="13"/>
      <c r="B203" s="13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32"/>
      <c r="AI203" s="20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28"/>
      <c r="CJ203" s="67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</row>
    <row r="204" ht="15.75" customHeight="1">
      <c r="A204" s="13"/>
      <c r="B204" s="13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32"/>
      <c r="AI204" s="20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28"/>
      <c r="CJ204" s="67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ht="15.75" customHeight="1">
      <c r="A205" s="13"/>
      <c r="B205" s="13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32"/>
      <c r="AI205" s="20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28"/>
      <c r="CJ205" s="67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</row>
    <row r="206" ht="15.75" customHeight="1">
      <c r="A206" s="13"/>
      <c r="B206" s="13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32"/>
      <c r="AI206" s="20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28"/>
      <c r="CJ206" s="67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</row>
    <row r="207" ht="15.75" customHeight="1">
      <c r="A207" s="13"/>
      <c r="B207" s="13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32"/>
      <c r="AI207" s="20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28"/>
      <c r="CJ207" s="67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</row>
    <row r="208" ht="15.75" customHeight="1">
      <c r="A208" s="13"/>
      <c r="B208" s="13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32"/>
      <c r="AI208" s="20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28"/>
      <c r="CJ208" s="67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</row>
    <row r="209" ht="15.75" customHeight="1">
      <c r="A209" s="13"/>
      <c r="B209" s="13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32"/>
      <c r="AI209" s="20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28"/>
      <c r="CJ209" s="67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</row>
    <row r="210" ht="15.75" customHeight="1">
      <c r="A210" s="13"/>
      <c r="B210" s="13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32"/>
      <c r="AI210" s="20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28"/>
      <c r="CJ210" s="67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</row>
    <row r="211" ht="15.75" customHeight="1">
      <c r="A211" s="13"/>
      <c r="B211" s="13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32"/>
      <c r="AI211" s="20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28"/>
      <c r="CJ211" s="67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</row>
    <row r="212" ht="15.75" customHeight="1">
      <c r="A212" s="13"/>
      <c r="B212" s="13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32"/>
      <c r="AI212" s="20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28"/>
      <c r="CJ212" s="67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</row>
    <row r="213" ht="15.75" customHeight="1">
      <c r="A213" s="13"/>
      <c r="B213" s="13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32"/>
      <c r="AI213" s="20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28"/>
      <c r="CJ213" s="67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</row>
    <row r="214" ht="15.75" customHeight="1">
      <c r="A214" s="13"/>
      <c r="B214" s="13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32"/>
      <c r="AI214" s="20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28"/>
      <c r="CJ214" s="67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</row>
    <row r="215" ht="15.75" customHeight="1">
      <c r="A215" s="13"/>
      <c r="B215" s="13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32"/>
      <c r="AI215" s="20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28"/>
      <c r="CJ215" s="67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</row>
    <row r="216" ht="15.75" customHeight="1">
      <c r="A216" s="13"/>
      <c r="B216" s="13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32"/>
      <c r="AI216" s="20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28"/>
      <c r="CJ216" s="67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</row>
    <row r="217" ht="15.75" customHeight="1">
      <c r="A217" s="13"/>
      <c r="B217" s="13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32"/>
      <c r="AI217" s="20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28"/>
      <c r="CJ217" s="67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</row>
    <row r="218" ht="15.75" customHeight="1">
      <c r="A218" s="13"/>
      <c r="B218" s="13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32"/>
      <c r="AI218" s="20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28"/>
      <c r="CJ218" s="67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</row>
    <row r="219" ht="15.75" customHeight="1">
      <c r="A219" s="13"/>
      <c r="B219" s="13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32"/>
      <c r="AI219" s="20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28"/>
      <c r="CJ219" s="67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ht="15.75" customHeight="1">
      <c r="A220" s="13"/>
      <c r="B220" s="13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32"/>
      <c r="AI220" s="20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28"/>
      <c r="CJ220" s="67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ht="15.75" customHeight="1">
      <c r="A221" s="13"/>
      <c r="B221" s="13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32"/>
      <c r="AI221" s="20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28"/>
      <c r="CJ221" s="67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</row>
    <row r="222" ht="15.75" customHeight="1">
      <c r="A222" s="13"/>
      <c r="B222" s="13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32"/>
      <c r="AI222" s="20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28"/>
      <c r="CJ222" s="67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ht="15.75" customHeight="1">
      <c r="A223" s="13"/>
      <c r="B223" s="13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32"/>
      <c r="AI223" s="20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28"/>
      <c r="CJ223" s="67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ht="15.75" customHeight="1">
      <c r="A224" s="13"/>
      <c r="B224" s="13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32"/>
      <c r="AI224" s="20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28"/>
      <c r="CJ224" s="67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</row>
    <row r="225" ht="15.75" customHeight="1">
      <c r="A225" s="13"/>
      <c r="B225" s="13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32"/>
      <c r="AI225" s="20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28"/>
      <c r="CJ225" s="67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</row>
    <row r="226" ht="15.75" customHeight="1">
      <c r="A226" s="13"/>
      <c r="B226" s="13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32"/>
      <c r="AI226" s="20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28"/>
      <c r="CJ226" s="67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ht="15.75" customHeight="1">
      <c r="A227" s="13"/>
      <c r="B227" s="13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32"/>
      <c r="AI227" s="20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28"/>
      <c r="CJ227" s="67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</row>
    <row r="228" ht="15.75" customHeight="1">
      <c r="A228" s="13"/>
      <c r="B228" s="13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32"/>
      <c r="AI228" s="20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28"/>
      <c r="CJ228" s="67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</row>
    <row r="229" ht="15.75" customHeight="1">
      <c r="A229" s="13"/>
      <c r="B229" s="13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32"/>
      <c r="AI229" s="20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28"/>
      <c r="CJ229" s="67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</row>
    <row r="230" ht="15.75" customHeight="1">
      <c r="A230" s="13"/>
      <c r="B230" s="13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32"/>
      <c r="AI230" s="20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28"/>
      <c r="CJ230" s="67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</row>
    <row r="231" ht="15.75" customHeight="1">
      <c r="A231" s="13"/>
      <c r="B231" s="13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32"/>
      <c r="AI231" s="20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28"/>
      <c r="CJ231" s="67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</row>
    <row r="232" ht="15.75" customHeight="1">
      <c r="A232" s="13"/>
      <c r="B232" s="13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32"/>
      <c r="AI232" s="20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28"/>
      <c r="CJ232" s="67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</row>
    <row r="233" ht="15.75" customHeight="1">
      <c r="A233" s="13"/>
      <c r="B233" s="13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32"/>
      <c r="AI233" s="20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28"/>
      <c r="CJ233" s="67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</row>
    <row r="234" ht="15.75" customHeight="1">
      <c r="A234" s="13"/>
      <c r="B234" s="13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32"/>
      <c r="AI234" s="20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28"/>
      <c r="CJ234" s="67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</row>
    <row r="235" ht="15.75" customHeight="1">
      <c r="A235" s="13"/>
      <c r="B235" s="13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32"/>
      <c r="AI235" s="20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28"/>
      <c r="CJ235" s="67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</row>
    <row r="236" ht="15.75" customHeight="1">
      <c r="A236" s="13"/>
      <c r="B236" s="13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32"/>
      <c r="AI236" s="20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28"/>
      <c r="CJ236" s="67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</row>
    <row r="237" ht="15.75" customHeight="1">
      <c r="A237" s="13"/>
      <c r="B237" s="13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32"/>
      <c r="AI237" s="20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28"/>
      <c r="CJ237" s="67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</row>
    <row r="238" ht="15.75" customHeight="1">
      <c r="A238" s="13"/>
      <c r="B238" s="13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32"/>
      <c r="AI238" s="20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28"/>
      <c r="CJ238" s="67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</row>
    <row r="239" ht="15.75" customHeight="1">
      <c r="A239" s="13"/>
      <c r="B239" s="13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32"/>
      <c r="AI239" s="20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28"/>
      <c r="CJ239" s="67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</row>
    <row r="240" ht="15.75" customHeight="1">
      <c r="A240" s="13"/>
      <c r="B240" s="13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32"/>
      <c r="AI240" s="20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28"/>
      <c r="CJ240" s="67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</row>
    <row r="241" ht="15.75" customHeight="1">
      <c r="A241" s="13"/>
      <c r="B241" s="13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32"/>
      <c r="AI241" s="20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28"/>
      <c r="CJ241" s="67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</row>
    <row r="242" ht="15.75" customHeight="1">
      <c r="A242" s="13"/>
      <c r="B242" s="13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32"/>
      <c r="AI242" s="20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28"/>
      <c r="CJ242" s="67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</row>
    <row r="243" ht="15.75" customHeight="1">
      <c r="A243" s="13"/>
      <c r="B243" s="13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32"/>
      <c r="AI243" s="20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28"/>
      <c r="CJ243" s="67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</row>
    <row r="244" ht="15.75" customHeight="1">
      <c r="A244" s="13"/>
      <c r="B244" s="13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32"/>
      <c r="AI244" s="20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28"/>
      <c r="CJ244" s="67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</row>
    <row r="245" ht="15.75" customHeight="1">
      <c r="A245" s="13"/>
      <c r="B245" s="13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32"/>
      <c r="AI245" s="20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28"/>
      <c r="CJ245" s="67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</row>
    <row r="246" ht="15.75" customHeight="1">
      <c r="A246" s="13"/>
      <c r="B246" s="13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32"/>
      <c r="AI246" s="20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28"/>
      <c r="CJ246" s="67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</row>
    <row r="247" ht="15.75" customHeight="1">
      <c r="A247" s="13"/>
      <c r="B247" s="13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32"/>
      <c r="AI247" s="20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28"/>
      <c r="CJ247" s="67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</row>
    <row r="248" ht="15.75" customHeight="1">
      <c r="A248" s="13"/>
      <c r="B248" s="13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32"/>
      <c r="AI248" s="20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28"/>
      <c r="CJ248" s="67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</row>
    <row r="249" ht="15.75" customHeight="1">
      <c r="A249" s="13"/>
      <c r="B249" s="13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32"/>
      <c r="AI249" s="20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28"/>
      <c r="CJ249" s="67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</row>
    <row r="250" ht="15.75" customHeight="1">
      <c r="A250" s="13"/>
      <c r="B250" s="13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32"/>
      <c r="AI250" s="20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28"/>
      <c r="CJ250" s="67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</row>
    <row r="251" ht="15.75" customHeight="1">
      <c r="A251" s="13"/>
      <c r="B251" s="13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32"/>
      <c r="AI251" s="20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28"/>
      <c r="CJ251" s="67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</row>
    <row r="252" ht="15.75" customHeight="1">
      <c r="A252" s="13"/>
      <c r="B252" s="13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32"/>
      <c r="AI252" s="20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28"/>
      <c r="CJ252" s="67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</row>
    <row r="253" ht="15.75" customHeight="1">
      <c r="A253" s="13"/>
      <c r="B253" s="13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32"/>
      <c r="AI253" s="20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28"/>
      <c r="CJ253" s="67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</row>
    <row r="254" ht="15.75" customHeight="1">
      <c r="A254" s="13"/>
      <c r="B254" s="13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32"/>
      <c r="AI254" s="20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28"/>
      <c r="CJ254" s="67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</row>
    <row r="255" ht="15.75" customHeight="1">
      <c r="A255" s="13"/>
      <c r="B255" s="13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32"/>
      <c r="AI255" s="20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28"/>
      <c r="CJ255" s="67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</row>
    <row r="256" ht="15.75" customHeight="1">
      <c r="A256" s="13"/>
      <c r="B256" s="13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32"/>
      <c r="AI256" s="20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28"/>
      <c r="CJ256" s="67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</row>
    <row r="257" ht="15.75" customHeight="1">
      <c r="A257" s="13"/>
      <c r="B257" s="13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32"/>
      <c r="AI257" s="20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28"/>
      <c r="CJ257" s="67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</row>
    <row r="258" ht="15.75" customHeight="1">
      <c r="A258" s="13"/>
      <c r="B258" s="13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32"/>
      <c r="AI258" s="20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28"/>
      <c r="CJ258" s="67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ht="15.75" customHeight="1">
      <c r="A259" s="13"/>
      <c r="B259" s="13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32"/>
      <c r="AI259" s="20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28"/>
      <c r="CJ259" s="67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</row>
    <row r="260" ht="15.75" customHeight="1">
      <c r="A260" s="13"/>
      <c r="B260" s="13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32"/>
      <c r="AI260" s="20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28"/>
      <c r="CJ260" s="67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</row>
    <row r="261" ht="15.75" customHeight="1">
      <c r="A261" s="13"/>
      <c r="B261" s="13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32"/>
      <c r="AI261" s="20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28"/>
      <c r="CJ261" s="67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</row>
    <row r="262" ht="15.75" customHeight="1">
      <c r="A262" s="13"/>
      <c r="B262" s="13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32"/>
      <c r="AI262" s="20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28"/>
      <c r="CJ262" s="67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</row>
    <row r="263" ht="15.75" customHeight="1">
      <c r="A263" s="13"/>
      <c r="B263" s="13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32"/>
      <c r="AI263" s="20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28"/>
      <c r="CJ263" s="67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</row>
    <row r="264" ht="15.75" customHeight="1">
      <c r="A264" s="13"/>
      <c r="B264" s="13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32"/>
      <c r="AI264" s="20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28"/>
      <c r="CJ264" s="67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ht="15.75" customHeight="1">
      <c r="A265" s="13"/>
      <c r="B265" s="13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32"/>
      <c r="AI265" s="20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28"/>
      <c r="CJ265" s="67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ht="15.75" customHeight="1">
      <c r="A266" s="13"/>
      <c r="B266" s="13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32"/>
      <c r="AI266" s="20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28"/>
      <c r="CJ266" s="67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</row>
    <row r="267" ht="15.75" customHeight="1">
      <c r="A267" s="13"/>
      <c r="B267" s="13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32"/>
      <c r="AI267" s="20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28"/>
      <c r="CJ267" s="67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ht="15.75" customHeight="1">
      <c r="A268" s="13"/>
      <c r="B268" s="13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32"/>
      <c r="AI268" s="20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28"/>
      <c r="CJ268" s="67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ht="15.75" customHeight="1">
      <c r="A269" s="13"/>
      <c r="B269" s="13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32"/>
      <c r="AI269" s="20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28"/>
      <c r="CJ269" s="67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</row>
    <row r="270" ht="15.75" customHeight="1">
      <c r="A270" s="13"/>
      <c r="B270" s="13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32"/>
      <c r="AI270" s="20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28"/>
      <c r="CJ270" s="67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ht="15.75" customHeight="1">
      <c r="A271" s="13"/>
      <c r="B271" s="13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32"/>
      <c r="AI271" s="20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28"/>
      <c r="CJ271" s="67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ht="15.75" customHeight="1">
      <c r="A272" s="13"/>
      <c r="B272" s="13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32"/>
      <c r="AI272" s="20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28"/>
      <c r="CJ272" s="67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</row>
    <row r="273" ht="15.75" customHeight="1">
      <c r="A273" s="13"/>
      <c r="B273" s="13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32"/>
      <c r="AI273" s="20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28"/>
      <c r="CJ273" s="67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</row>
    <row r="274" ht="15.75" customHeight="1">
      <c r="A274" s="13"/>
      <c r="B274" s="13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32"/>
      <c r="AI274" s="20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28"/>
      <c r="CJ274" s="67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ht="15.75" customHeight="1">
      <c r="A275" s="13"/>
      <c r="B275" s="13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32"/>
      <c r="AI275" s="20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28"/>
      <c r="CJ275" s="67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</row>
    <row r="276" ht="15.75" customHeight="1">
      <c r="A276" s="13"/>
      <c r="B276" s="13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32"/>
      <c r="AI276" s="20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28"/>
      <c r="CJ276" s="67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</row>
    <row r="277" ht="15.75" customHeight="1">
      <c r="A277" s="13"/>
      <c r="B277" s="13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32"/>
      <c r="AI277" s="20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28"/>
      <c r="CJ277" s="67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ht="15.75" customHeight="1">
      <c r="A278" s="13"/>
      <c r="B278" s="13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32"/>
      <c r="AI278" s="20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28"/>
      <c r="CJ278" s="67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</row>
    <row r="279" ht="15.75" customHeight="1">
      <c r="A279" s="13"/>
      <c r="B279" s="13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32"/>
      <c r="AI279" s="20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28"/>
      <c r="CJ279" s="67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ht="15.75" customHeight="1">
      <c r="A280" s="13"/>
      <c r="B280" s="13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32"/>
      <c r="AI280" s="20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28"/>
      <c r="CJ280" s="67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ht="15.75" customHeight="1">
      <c r="A281" s="13"/>
      <c r="B281" s="13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32"/>
      <c r="AI281" s="20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28"/>
      <c r="CJ281" s="67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</row>
    <row r="282" ht="15.75" customHeight="1">
      <c r="A282" s="13"/>
      <c r="B282" s="13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32"/>
      <c r="AI282" s="20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28"/>
      <c r="CJ282" s="67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ht="15.75" customHeight="1">
      <c r="A283" s="13"/>
      <c r="B283" s="13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32"/>
      <c r="AI283" s="20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28"/>
      <c r="CJ283" s="67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</row>
    <row r="284" ht="15.75" customHeight="1">
      <c r="A284" s="13"/>
      <c r="B284" s="13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32"/>
      <c r="AI284" s="20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28"/>
      <c r="CJ284" s="67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ht="15.75" customHeight="1">
      <c r="A285" s="13"/>
      <c r="B285" s="13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32"/>
      <c r="AI285" s="20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28"/>
      <c r="CJ285" s="67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ht="15.75" customHeight="1">
      <c r="A286" s="13"/>
      <c r="B286" s="13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32"/>
      <c r="AI286" s="20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28"/>
      <c r="CJ286" s="67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ht="15.75" customHeight="1">
      <c r="A287" s="13"/>
      <c r="B287" s="13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32"/>
      <c r="AI287" s="20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28"/>
      <c r="CJ287" s="67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ht="15.75" customHeight="1">
      <c r="A288" s="13"/>
      <c r="B288" s="13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32"/>
      <c r="AI288" s="20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28"/>
      <c r="CJ288" s="67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ht="15.75" customHeight="1">
      <c r="A289" s="13"/>
      <c r="B289" s="13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32"/>
      <c r="AI289" s="20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28"/>
      <c r="CJ289" s="67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ht="15.75" customHeight="1">
      <c r="A290" s="13"/>
      <c r="B290" s="13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32"/>
      <c r="AI290" s="20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28"/>
      <c r="CJ290" s="67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ht="15.75" customHeight="1">
      <c r="A291" s="13"/>
      <c r="B291" s="13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32"/>
      <c r="AI291" s="20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28"/>
      <c r="CJ291" s="67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ht="15.75" customHeight="1">
      <c r="A292" s="13"/>
      <c r="B292" s="13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32"/>
      <c r="AI292" s="20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28"/>
      <c r="CJ292" s="67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ht="15.75" customHeight="1">
      <c r="A293" s="13"/>
      <c r="B293" s="13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32"/>
      <c r="AI293" s="20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28"/>
      <c r="CJ293" s="67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</row>
    <row r="294" ht="15.75" customHeight="1">
      <c r="A294" s="13"/>
      <c r="B294" s="13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32"/>
      <c r="AI294" s="20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28"/>
      <c r="CJ294" s="67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</row>
    <row r="295" ht="15.75" customHeight="1">
      <c r="A295" s="13"/>
      <c r="B295" s="13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32"/>
      <c r="AI295" s="20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28"/>
      <c r="CJ295" s="67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</row>
    <row r="296" ht="15.75" customHeight="1">
      <c r="A296" s="13"/>
      <c r="B296" s="13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32"/>
      <c r="AI296" s="20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28"/>
      <c r="CJ296" s="67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</row>
    <row r="297" ht="15.75" customHeight="1">
      <c r="A297" s="13"/>
      <c r="B297" s="13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32"/>
      <c r="AI297" s="20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28"/>
      <c r="CJ297" s="67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</row>
    <row r="298" ht="15.75" customHeight="1">
      <c r="A298" s="13"/>
      <c r="B298" s="13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32"/>
      <c r="AI298" s="20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28"/>
      <c r="CJ298" s="67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</row>
    <row r="299" ht="15.75" customHeight="1">
      <c r="A299" s="13"/>
      <c r="B299" s="13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32"/>
      <c r="AI299" s="20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28"/>
      <c r="CJ299" s="67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</row>
    <row r="300" ht="15.75" customHeight="1">
      <c r="A300" s="13"/>
      <c r="B300" s="13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32"/>
      <c r="AI300" s="20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28"/>
      <c r="CJ300" s="67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</row>
    <row r="301" ht="15.75" customHeight="1">
      <c r="A301" s="13"/>
      <c r="B301" s="13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32"/>
      <c r="AI301" s="20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28"/>
      <c r="CJ301" s="67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</row>
    <row r="302" ht="15.75" customHeight="1">
      <c r="A302" s="13"/>
      <c r="B302" s="13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32"/>
      <c r="AI302" s="20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28"/>
      <c r="CJ302" s="67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</row>
    <row r="303" ht="15.75" customHeight="1">
      <c r="A303" s="13"/>
      <c r="B303" s="13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32"/>
      <c r="AI303" s="20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28"/>
      <c r="CJ303" s="67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</row>
    <row r="304" ht="15.75" customHeight="1">
      <c r="A304" s="13"/>
      <c r="B304" s="13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32"/>
      <c r="AI304" s="20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28"/>
      <c r="CJ304" s="67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</row>
    <row r="305" ht="15.75" customHeight="1">
      <c r="A305" s="13"/>
      <c r="B305" s="13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32"/>
      <c r="AI305" s="20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28"/>
      <c r="CJ305" s="67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</row>
    <row r="306" ht="15.75" customHeight="1">
      <c r="A306" s="13"/>
      <c r="B306" s="13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32"/>
      <c r="AI306" s="20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28"/>
      <c r="CJ306" s="67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</row>
    <row r="307" ht="15.75" customHeight="1">
      <c r="A307" s="13"/>
      <c r="B307" s="13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32"/>
      <c r="AI307" s="20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28"/>
      <c r="CJ307" s="67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</row>
    <row r="308" ht="15.75" customHeight="1">
      <c r="A308" s="13"/>
      <c r="B308" s="13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32"/>
      <c r="AI308" s="20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28"/>
      <c r="CJ308" s="67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</row>
    <row r="309" ht="15.75" customHeight="1">
      <c r="A309" s="13"/>
      <c r="B309" s="13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32"/>
      <c r="AI309" s="20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28"/>
      <c r="CJ309" s="67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</row>
    <row r="310" ht="15.75" customHeight="1">
      <c r="A310" s="13"/>
      <c r="B310" s="13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32"/>
      <c r="AI310" s="20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28"/>
      <c r="CJ310" s="67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</row>
    <row r="311" ht="15.75" customHeight="1">
      <c r="A311" s="13"/>
      <c r="B311" s="13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32"/>
      <c r="AI311" s="20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28"/>
      <c r="CJ311" s="67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</row>
    <row r="312" ht="15.75" customHeight="1">
      <c r="A312" s="13"/>
      <c r="B312" s="13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32"/>
      <c r="AI312" s="20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28"/>
      <c r="CJ312" s="67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</row>
    <row r="313" ht="15.75" customHeight="1">
      <c r="A313" s="13"/>
      <c r="B313" s="13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32"/>
      <c r="AI313" s="20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28"/>
      <c r="CJ313" s="67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</row>
    <row r="314" ht="15.75" customHeight="1">
      <c r="A314" s="13"/>
      <c r="B314" s="13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32"/>
      <c r="AI314" s="20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28"/>
      <c r="CJ314" s="67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</row>
    <row r="315" ht="15.75" customHeight="1">
      <c r="A315" s="13"/>
      <c r="B315" s="13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32"/>
      <c r="AI315" s="20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28"/>
      <c r="CJ315" s="67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</row>
    <row r="316" ht="15.75" customHeight="1">
      <c r="A316" s="13"/>
      <c r="B316" s="13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32"/>
      <c r="AI316" s="20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28"/>
      <c r="CJ316" s="67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</row>
    <row r="317" ht="15.75" customHeight="1">
      <c r="A317" s="13"/>
      <c r="B317" s="13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32"/>
      <c r="AI317" s="20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28"/>
      <c r="CJ317" s="67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</row>
    <row r="318" ht="15.75" customHeight="1">
      <c r="A318" s="13"/>
      <c r="B318" s="13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32"/>
      <c r="AI318" s="20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28"/>
      <c r="CJ318" s="67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</row>
    <row r="319" ht="15.75" customHeight="1">
      <c r="A319" s="13"/>
      <c r="B319" s="13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32"/>
      <c r="AI319" s="20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28"/>
      <c r="CJ319" s="67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</row>
    <row r="320" ht="15.75" customHeight="1">
      <c r="A320" s="13"/>
      <c r="B320" s="13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32"/>
      <c r="AI320" s="20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28"/>
      <c r="CJ320" s="67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</row>
    <row r="321" ht="15.75" customHeight="1">
      <c r="A321" s="13"/>
      <c r="B321" s="13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32"/>
      <c r="AI321" s="20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28"/>
      <c r="CJ321" s="67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</row>
    <row r="322" ht="15.75" customHeight="1">
      <c r="A322" s="13"/>
      <c r="B322" s="13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32"/>
      <c r="AI322" s="20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28"/>
      <c r="CJ322" s="67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</row>
    <row r="323" ht="15.75" customHeight="1">
      <c r="A323" s="13"/>
      <c r="B323" s="13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32"/>
      <c r="AI323" s="20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28"/>
      <c r="CJ323" s="67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</row>
    <row r="324" ht="15.75" customHeight="1">
      <c r="A324" s="13"/>
      <c r="B324" s="13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32"/>
      <c r="AI324" s="20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28"/>
      <c r="CJ324" s="67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</row>
    <row r="325" ht="15.75" customHeight="1">
      <c r="C325" s="68"/>
      <c r="D325" s="39"/>
      <c r="E325" s="68"/>
      <c r="F325" s="39"/>
      <c r="G325" s="68"/>
      <c r="H325" s="68"/>
      <c r="I325" s="39"/>
      <c r="J325" s="68"/>
      <c r="K325" s="68"/>
      <c r="L325" s="39"/>
      <c r="M325" s="39"/>
      <c r="N325" s="39"/>
      <c r="O325" s="68"/>
      <c r="P325" s="68"/>
      <c r="Q325" s="68"/>
      <c r="R325" s="68"/>
      <c r="S325" s="39"/>
      <c r="T325" s="68"/>
      <c r="U325" s="39"/>
      <c r="V325" s="39"/>
      <c r="W325" s="40"/>
      <c r="X325" s="40"/>
      <c r="Y325" s="40"/>
      <c r="Z325" s="69"/>
      <c r="AA325" s="40"/>
      <c r="AB325" s="40"/>
      <c r="AC325" s="40"/>
      <c r="AD325" s="40"/>
      <c r="AE325" s="40"/>
      <c r="AF325" s="69"/>
      <c r="AG325" s="41"/>
      <c r="AH325" s="42"/>
      <c r="AI325" s="20"/>
      <c r="AJ325" s="43"/>
      <c r="AK325" s="40"/>
      <c r="AL325" s="40"/>
      <c r="AM325" s="69"/>
      <c r="AN325" s="40"/>
      <c r="AO325" s="40"/>
      <c r="AP325" s="40"/>
      <c r="AQ325" s="40"/>
      <c r="AR325" s="40"/>
      <c r="AS325" s="40"/>
      <c r="AT325" s="69"/>
      <c r="AU325" s="44"/>
      <c r="AV325" s="44"/>
      <c r="AW325" s="44"/>
      <c r="AX325" s="44"/>
      <c r="AY325" s="44"/>
      <c r="AZ325" s="44"/>
      <c r="BA325" s="44"/>
      <c r="BB325" s="70"/>
      <c r="BC325" s="44"/>
      <c r="BD325" s="70"/>
      <c r="BE325" s="44"/>
      <c r="BF325" s="44"/>
      <c r="BG325" s="44"/>
      <c r="BH325" s="44"/>
      <c r="BI325" s="39"/>
      <c r="BJ325" s="68"/>
      <c r="BK325" s="68"/>
      <c r="BL325" s="71"/>
      <c r="BM325" s="71"/>
      <c r="BN325" s="71"/>
      <c r="BO325" s="71"/>
      <c r="BP325" s="47"/>
      <c r="BQ325" s="71"/>
      <c r="BR325" s="71"/>
      <c r="BS325" s="71"/>
      <c r="BT325" s="71"/>
      <c r="BU325" s="71"/>
      <c r="BV325" s="71"/>
      <c r="BW325" s="71"/>
      <c r="BX325" s="47"/>
      <c r="BY325" s="48"/>
      <c r="BZ325" s="48"/>
      <c r="CA325" s="48"/>
      <c r="CB325" s="48"/>
      <c r="CC325" s="48"/>
      <c r="CD325" s="48"/>
      <c r="CE325" s="48"/>
      <c r="CF325" s="48"/>
      <c r="CG325" s="41"/>
      <c r="CH325" s="41"/>
      <c r="CI325" s="28"/>
      <c r="CJ325" s="49"/>
      <c r="CK325" s="50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</row>
  </sheetData>
  <mergeCells count="7">
    <mergeCell ref="C1:V1"/>
    <mergeCell ref="W1:AT1"/>
    <mergeCell ref="CG1:CI1"/>
    <mergeCell ref="AU1:BH1"/>
    <mergeCell ref="BY1:CF1"/>
    <mergeCell ref="BI1:BK1"/>
    <mergeCell ref="BL1:BX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56"/>
    <col customWidth="1" min="2" max="2" width="63.67"/>
    <col customWidth="1" min="3" max="3" width="6.56"/>
    <col customWidth="1" min="4" max="4" width="10.67"/>
    <col customWidth="1" min="5" max="5" width="7.67"/>
    <col customWidth="1" min="6" max="7" width="8.11"/>
    <col customWidth="1" min="8" max="8" width="38.56"/>
    <col customWidth="1" min="9" max="9" width="8.44"/>
    <col customWidth="1" min="10" max="10" width="14.11"/>
    <col customWidth="1" min="11" max="11" width="16.11"/>
    <col customWidth="1" min="12" max="12" width="15.33"/>
    <col customWidth="1" min="13" max="13" width="15.67"/>
    <col customWidth="1" min="14" max="14" width="12.33"/>
    <col customWidth="1" min="15" max="15" width="16.89"/>
    <col customWidth="1" min="16" max="16" width="13.89"/>
    <col customWidth="1" min="17" max="17" width="7.67"/>
    <col customWidth="1" min="18" max="18" width="25.33"/>
    <col customWidth="1" min="19" max="19" width="19.44"/>
    <col customWidth="1" min="20" max="20" width="18.56"/>
    <col customWidth="1" min="21" max="22" width="13.89"/>
    <col customWidth="1" min="23" max="23" width="17.67"/>
    <col customWidth="1" min="24" max="24" width="26.0"/>
    <col customWidth="1" min="25" max="25" width="11.89"/>
    <col customWidth="1" min="26" max="26" width="10.67"/>
    <col customWidth="1" min="27" max="28" width="11.33"/>
    <col customWidth="1" min="29" max="29" width="4.33"/>
    <col customWidth="1" min="30" max="30" width="22.33"/>
    <col customWidth="1" min="31" max="31" width="6.89"/>
    <col customWidth="1" min="32" max="32" width="7.56"/>
    <col customWidth="1" min="33" max="33" width="6.89"/>
    <col customWidth="1" min="34" max="34" width="62.89"/>
  </cols>
  <sheetData>
    <row r="1" ht="14.25" customHeight="1">
      <c r="C1" s="72" t="s">
        <v>389</v>
      </c>
      <c r="D1" s="72" t="s">
        <v>390</v>
      </c>
      <c r="E1" s="72" t="s">
        <v>391</v>
      </c>
      <c r="F1" s="13"/>
      <c r="G1" s="13"/>
      <c r="H1" s="73"/>
      <c r="I1" s="73"/>
      <c r="J1" s="51" t="s">
        <v>392</v>
      </c>
      <c r="K1" s="51" t="s">
        <v>108</v>
      </c>
      <c r="L1" s="62" t="s">
        <v>393</v>
      </c>
      <c r="M1" s="62" t="s">
        <v>380</v>
      </c>
      <c r="N1" s="51" t="s">
        <v>394</v>
      </c>
      <c r="O1" s="51" t="s">
        <v>395</v>
      </c>
      <c r="P1" s="51" t="s">
        <v>248</v>
      </c>
      <c r="Q1" s="51" t="s">
        <v>396</v>
      </c>
      <c r="R1" s="51" t="s">
        <v>316</v>
      </c>
      <c r="S1" s="51" t="s">
        <v>344</v>
      </c>
      <c r="T1" s="62" t="s">
        <v>397</v>
      </c>
      <c r="U1" s="63" t="s">
        <v>398</v>
      </c>
      <c r="V1" s="63" t="s">
        <v>388</v>
      </c>
      <c r="W1" s="51"/>
      <c r="X1" s="63"/>
      <c r="Y1" s="62"/>
      <c r="Z1" s="33"/>
    </row>
    <row r="2" ht="14.25" customHeight="1">
      <c r="A2" s="31" t="s">
        <v>87</v>
      </c>
      <c r="B2" s="31" t="s">
        <v>88</v>
      </c>
      <c r="C2" s="72" t="s">
        <v>389</v>
      </c>
      <c r="D2" s="72" t="s">
        <v>399</v>
      </c>
      <c r="E2" s="72" t="s">
        <v>400</v>
      </c>
      <c r="F2" s="13"/>
      <c r="G2" s="13"/>
      <c r="H2" s="15" t="s">
        <v>0</v>
      </c>
      <c r="I2" s="74" t="str">
        <f t="array" ref="I2:I86">TRANSPOSE('Raw material'!C3:CI3)</f>
        <v>0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4.25" customHeight="1">
      <c r="A3" s="62" t="s">
        <v>89</v>
      </c>
      <c r="B3" s="62" t="s">
        <v>90</v>
      </c>
      <c r="C3" s="76">
        <v>1.917</v>
      </c>
      <c r="D3" s="76" t="str">
        <f>'Raw material'!CK4</f>
        <v>0.09855</v>
      </c>
      <c r="E3" s="76" t="str">
        <f t="shared" ref="E3:E20" si="1">C3-D3</f>
        <v>1.81845</v>
      </c>
      <c r="F3" s="13"/>
      <c r="G3" s="13"/>
      <c r="H3" s="16" t="s">
        <v>1</v>
      </c>
      <c r="I3" s="74">
        <v>3.0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13"/>
      <c r="AB3" s="13"/>
    </row>
    <row r="4" ht="14.25" customHeight="1">
      <c r="A4" s="51" t="s">
        <v>91</v>
      </c>
      <c r="B4" s="51" t="s">
        <v>92</v>
      </c>
      <c r="C4" s="32">
        <v>2424.0</v>
      </c>
      <c r="D4" s="32" t="str">
        <f>'Raw material'!CK5</f>
        <v>650</v>
      </c>
      <c r="E4" s="32" t="str">
        <f t="shared" si="1"/>
        <v>1774</v>
      </c>
      <c r="F4" s="13"/>
      <c r="G4" s="13"/>
      <c r="H4" s="15" t="s">
        <v>2</v>
      </c>
      <c r="I4" s="74">
        <v>5.0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13"/>
      <c r="AB4" s="13"/>
      <c r="AC4" s="32" t="s">
        <v>401</v>
      </c>
      <c r="AD4" s="32" t="s">
        <v>402</v>
      </c>
      <c r="AE4" s="32" t="s">
        <v>403</v>
      </c>
      <c r="AF4" s="32" t="s">
        <v>404</v>
      </c>
      <c r="AG4" s="32" t="s">
        <v>86</v>
      </c>
      <c r="AH4" s="51" t="s">
        <v>405</v>
      </c>
    </row>
    <row r="5" ht="14.25" customHeight="1">
      <c r="A5" s="62" t="s">
        <v>93</v>
      </c>
      <c r="B5" s="62" t="s">
        <v>94</v>
      </c>
      <c r="C5" s="76">
        <v>2.4</v>
      </c>
      <c r="D5" s="76" t="str">
        <f>'Raw material'!CK6</f>
        <v>0.16</v>
      </c>
      <c r="E5" s="76" t="str">
        <f t="shared" si="1"/>
        <v>2.24</v>
      </c>
      <c r="F5" s="13"/>
      <c r="G5" s="13"/>
      <c r="H5" s="16" t="s">
        <v>3</v>
      </c>
      <c r="I5" s="77">
        <v>2.0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13"/>
      <c r="AB5" s="13"/>
      <c r="AC5" s="72">
        <v>1.0</v>
      </c>
      <c r="AD5" s="78" t="s">
        <v>406</v>
      </c>
      <c r="AE5" s="75" t="str">
        <f t="shared" ref="AE5:AE20" si="2">AF5-AG5</f>
        <v>-1</v>
      </c>
      <c r="AF5" s="75">
        <v>3.0</v>
      </c>
      <c r="AG5" s="75">
        <v>4.0</v>
      </c>
      <c r="AH5" s="79" t="s">
        <v>407</v>
      </c>
    </row>
    <row r="6" ht="14.25" customHeight="1">
      <c r="A6" s="51" t="s">
        <v>95</v>
      </c>
      <c r="B6" s="51" t="s">
        <v>96</v>
      </c>
      <c r="C6" s="32">
        <v>0.898</v>
      </c>
      <c r="D6" s="32" t="str">
        <f>'Raw material'!CK7</f>
        <v>0</v>
      </c>
      <c r="E6" s="32" t="str">
        <f t="shared" si="1"/>
        <v>0.898</v>
      </c>
      <c r="F6" s="13"/>
      <c r="G6" s="13"/>
      <c r="H6" s="15" t="s">
        <v>4</v>
      </c>
      <c r="I6" s="74">
        <v>1.0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v>12.0</v>
      </c>
      <c r="U6" s="75"/>
      <c r="V6" s="75"/>
      <c r="W6" s="75"/>
      <c r="X6" s="75"/>
      <c r="Y6" s="75"/>
      <c r="Z6" s="75"/>
      <c r="AA6" s="13"/>
      <c r="AB6" s="13"/>
      <c r="AC6" s="72">
        <v>2.0</v>
      </c>
      <c r="AD6" s="14" t="s">
        <v>13</v>
      </c>
      <c r="AE6" s="72" t="str">
        <f t="shared" si="2"/>
        <v>-1</v>
      </c>
      <c r="AF6" s="72">
        <v>0.0</v>
      </c>
      <c r="AG6" s="72">
        <v>1.0</v>
      </c>
      <c r="AH6" s="80" t="s">
        <v>408</v>
      </c>
    </row>
    <row r="7" ht="18.0" customHeight="1">
      <c r="A7" s="62" t="s">
        <v>97</v>
      </c>
      <c r="B7" s="62" t="s">
        <v>98</v>
      </c>
      <c r="C7" s="76">
        <v>661.0</v>
      </c>
      <c r="D7" s="76" t="str">
        <f>'Raw material'!CK8</f>
        <v>0</v>
      </c>
      <c r="E7" s="76" t="str">
        <f t="shared" si="1"/>
        <v>661</v>
      </c>
      <c r="F7" s="13"/>
      <c r="G7" s="13"/>
      <c r="H7" s="15" t="s">
        <v>5</v>
      </c>
      <c r="I7" s="74">
        <v>1.0</v>
      </c>
      <c r="J7" s="75">
        <v>20.0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13"/>
      <c r="AB7" s="13"/>
      <c r="AC7" s="72">
        <v>3.0</v>
      </c>
      <c r="AD7" s="78" t="s">
        <v>73</v>
      </c>
      <c r="AE7" s="75" t="str">
        <f t="shared" si="2"/>
        <v>-1</v>
      </c>
      <c r="AF7" s="75">
        <v>1.0</v>
      </c>
      <c r="AG7" s="75">
        <v>2.0</v>
      </c>
      <c r="AH7" s="79" t="s">
        <v>409</v>
      </c>
    </row>
    <row r="8" ht="14.25" customHeight="1">
      <c r="A8" s="51" t="s">
        <v>99</v>
      </c>
      <c r="B8" s="51" t="s">
        <v>100</v>
      </c>
      <c r="C8" s="32">
        <v>140.0</v>
      </c>
      <c r="D8" s="32" t="str">
        <f>'Raw material'!CK9</f>
        <v>180</v>
      </c>
      <c r="E8" s="32" t="str">
        <f t="shared" si="1"/>
        <v>-40</v>
      </c>
      <c r="F8" s="13"/>
      <c r="G8" s="13"/>
      <c r="H8" s="15" t="s">
        <v>6</v>
      </c>
      <c r="I8" s="77">
        <v>4.0</v>
      </c>
      <c r="J8" s="81">
        <v>120.0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13"/>
      <c r="AB8" s="13"/>
      <c r="AC8" s="72">
        <v>4.0</v>
      </c>
      <c r="AD8" s="14" t="s">
        <v>410</v>
      </c>
      <c r="AE8" s="72" t="str">
        <f t="shared" si="2"/>
        <v>-0.5</v>
      </c>
      <c r="AF8" s="72">
        <v>0.0</v>
      </c>
      <c r="AG8" s="72">
        <v>0.5</v>
      </c>
      <c r="AH8" s="80" t="s">
        <v>393</v>
      </c>
    </row>
    <row r="9" ht="14.25" customHeight="1">
      <c r="A9" s="62" t="s">
        <v>101</v>
      </c>
      <c r="B9" s="62" t="s">
        <v>102</v>
      </c>
      <c r="C9" s="76">
        <v>10.699</v>
      </c>
      <c r="D9" s="76" t="str">
        <f>'Raw material'!CK10</f>
        <v>0.562</v>
      </c>
      <c r="E9" s="76" t="str">
        <f t="shared" si="1"/>
        <v>10.137</v>
      </c>
      <c r="F9" s="13"/>
      <c r="G9" s="13"/>
      <c r="H9" s="15" t="s">
        <v>7</v>
      </c>
      <c r="I9" s="74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13"/>
      <c r="AB9" s="13"/>
      <c r="AC9" s="72">
        <v>5.0</v>
      </c>
      <c r="AD9" s="78" t="s">
        <v>9</v>
      </c>
      <c r="AE9" s="75" t="str">
        <f t="shared" si="2"/>
        <v>-1</v>
      </c>
      <c r="AF9" s="75">
        <v>0.0</v>
      </c>
      <c r="AG9" s="75">
        <v>1.0</v>
      </c>
      <c r="AH9" s="79" t="s">
        <v>380</v>
      </c>
    </row>
    <row r="10" ht="14.25" customHeight="1">
      <c r="A10" s="51" t="s">
        <v>103</v>
      </c>
      <c r="B10" s="51" t="s">
        <v>104</v>
      </c>
      <c r="C10" s="32">
        <v>532.5</v>
      </c>
      <c r="D10" s="32" t="str">
        <f>'Raw material'!CK11</f>
        <v>33</v>
      </c>
      <c r="E10" s="32" t="str">
        <f t="shared" si="1"/>
        <v>499.5</v>
      </c>
      <c r="F10" s="13"/>
      <c r="G10" s="13"/>
      <c r="H10" s="15" t="s">
        <v>8</v>
      </c>
      <c r="I10" s="74">
        <v>0.5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13"/>
      <c r="U10" s="75"/>
      <c r="V10" s="75"/>
      <c r="W10" s="75"/>
      <c r="X10" s="75"/>
      <c r="Y10" s="75"/>
      <c r="Z10" s="75"/>
      <c r="AA10" s="13"/>
      <c r="AB10" s="13"/>
      <c r="AC10" s="72">
        <v>6.0</v>
      </c>
      <c r="AD10" s="14" t="s">
        <v>74</v>
      </c>
      <c r="AE10" s="72" t="str">
        <f t="shared" si="2"/>
        <v>-0.5</v>
      </c>
      <c r="AF10" s="72">
        <v>0.0</v>
      </c>
      <c r="AG10" s="72">
        <v>0.5</v>
      </c>
      <c r="AH10" s="80" t="s">
        <v>394</v>
      </c>
    </row>
    <row r="11" ht="14.25" customHeight="1">
      <c r="A11" s="62" t="s">
        <v>105</v>
      </c>
      <c r="B11" s="62" t="s">
        <v>106</v>
      </c>
      <c r="C11" s="76">
        <v>1958.0</v>
      </c>
      <c r="D11" s="76" t="str">
        <f>'Raw material'!CK12</f>
        <v>54</v>
      </c>
      <c r="E11" s="76" t="str">
        <f t="shared" si="1"/>
        <v>1904</v>
      </c>
      <c r="F11" s="13"/>
      <c r="G11" s="13"/>
      <c r="H11" s="16" t="s">
        <v>9</v>
      </c>
      <c r="I11" s="74">
        <v>1.0</v>
      </c>
      <c r="J11" s="75"/>
      <c r="K11" s="75"/>
      <c r="L11" s="75"/>
      <c r="M11" s="13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13"/>
      <c r="AB11" s="13"/>
      <c r="AC11" s="72">
        <v>7.0</v>
      </c>
      <c r="AD11" s="78" t="s">
        <v>27</v>
      </c>
      <c r="AE11" s="75" t="str">
        <f t="shared" si="2"/>
        <v>-2</v>
      </c>
      <c r="AF11" s="75">
        <v>1.0</v>
      </c>
      <c r="AG11" s="75">
        <v>3.0</v>
      </c>
      <c r="AH11" s="79" t="s">
        <v>316</v>
      </c>
    </row>
    <row r="12" ht="14.25" customHeight="1">
      <c r="A12" s="51" t="s">
        <v>107</v>
      </c>
      <c r="B12" s="51" t="s">
        <v>108</v>
      </c>
      <c r="C12" s="32">
        <v>135.0</v>
      </c>
      <c r="D12" s="32" t="str">
        <f>'Raw material'!CK13</f>
        <v>330</v>
      </c>
      <c r="E12" s="32" t="str">
        <f t="shared" si="1"/>
        <v>-195</v>
      </c>
      <c r="F12" s="13"/>
      <c r="G12" s="13"/>
      <c r="H12" s="16" t="s">
        <v>10</v>
      </c>
      <c r="I12" s="77">
        <v>3.0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13"/>
      <c r="AB12" s="13"/>
      <c r="AC12" s="72">
        <v>8.0</v>
      </c>
      <c r="AD12" s="14" t="s">
        <v>77</v>
      </c>
      <c r="AE12" s="72" t="str">
        <f t="shared" si="2"/>
        <v>0</v>
      </c>
      <c r="AF12" s="72"/>
      <c r="AG12" s="72"/>
      <c r="AH12" s="80" t="s">
        <v>411</v>
      </c>
    </row>
    <row r="13" ht="18.0" customHeight="1">
      <c r="A13" s="62" t="s">
        <v>109</v>
      </c>
      <c r="B13" s="62" t="s">
        <v>110</v>
      </c>
      <c r="C13" s="76">
        <v>607.0</v>
      </c>
      <c r="D13" s="76" t="str">
        <f>'Raw material'!CK14</f>
        <v>422.72</v>
      </c>
      <c r="E13" s="76" t="str">
        <f t="shared" si="1"/>
        <v>184.28</v>
      </c>
      <c r="F13" s="13"/>
      <c r="G13" s="13"/>
      <c r="H13" s="16" t="s">
        <v>11</v>
      </c>
      <c r="I13" s="74">
        <v>1.0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13"/>
      <c r="AB13" s="13"/>
      <c r="AC13" s="72">
        <v>9.0</v>
      </c>
      <c r="AD13" s="78" t="s">
        <v>8</v>
      </c>
      <c r="AE13" s="75" t="str">
        <f t="shared" si="2"/>
        <v>-1</v>
      </c>
      <c r="AF13" s="75">
        <v>0.0</v>
      </c>
      <c r="AG13" s="75">
        <v>1.0</v>
      </c>
      <c r="AH13" s="79" t="s">
        <v>397</v>
      </c>
    </row>
    <row r="14" ht="14.25" customHeight="1">
      <c r="A14" s="51" t="s">
        <v>111</v>
      </c>
      <c r="B14" s="51" t="s">
        <v>112</v>
      </c>
      <c r="C14" s="32">
        <v>955.0</v>
      </c>
      <c r="D14" s="32" t="str">
        <f>'Raw material'!CK15</f>
        <v>272</v>
      </c>
      <c r="E14" s="32" t="str">
        <f t="shared" si="1"/>
        <v>683</v>
      </c>
      <c r="F14" s="13"/>
      <c r="G14" s="13"/>
      <c r="H14" s="15" t="s">
        <v>12</v>
      </c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13"/>
      <c r="AB14" s="13"/>
      <c r="AC14" s="72">
        <v>10.0</v>
      </c>
      <c r="AD14" s="14" t="s">
        <v>44</v>
      </c>
      <c r="AE14" s="72" t="str">
        <f t="shared" si="2"/>
        <v>-1</v>
      </c>
      <c r="AF14" s="72">
        <v>0.0</v>
      </c>
      <c r="AG14" s="72">
        <v>1.0</v>
      </c>
      <c r="AH14" s="80" t="s">
        <v>398</v>
      </c>
    </row>
    <row r="15" ht="14.25" customHeight="1">
      <c r="A15" s="62" t="s">
        <v>113</v>
      </c>
      <c r="B15" s="62" t="s">
        <v>114</v>
      </c>
      <c r="C15" s="76"/>
      <c r="D15" s="76" t="str">
        <f>'Raw material'!CK16</f>
        <v>0</v>
      </c>
      <c r="E15" s="76" t="str">
        <f t="shared" si="1"/>
        <v>0</v>
      </c>
      <c r="F15" s="13"/>
      <c r="G15" s="13"/>
      <c r="H15" s="15" t="s">
        <v>13</v>
      </c>
      <c r="I15" s="74">
        <v>1.0</v>
      </c>
      <c r="J15" s="75"/>
      <c r="K15" s="13"/>
      <c r="L15" s="75"/>
      <c r="M15" s="75"/>
      <c r="N15" s="75"/>
      <c r="O15" s="75"/>
      <c r="P15" s="13"/>
      <c r="Q15" s="75">
        <v>6.0</v>
      </c>
      <c r="R15" s="75"/>
      <c r="S15" s="75"/>
      <c r="T15" s="75"/>
      <c r="U15" s="75"/>
      <c r="V15" s="75"/>
      <c r="W15" s="75"/>
      <c r="X15" s="75"/>
      <c r="Y15" s="75"/>
      <c r="Z15" s="75"/>
      <c r="AA15" s="13"/>
      <c r="AB15" s="13"/>
      <c r="AC15" s="72">
        <v>11.0</v>
      </c>
      <c r="AD15" s="78" t="s">
        <v>83</v>
      </c>
      <c r="AE15" s="75" t="str">
        <f t="shared" si="2"/>
        <v>-3</v>
      </c>
      <c r="AF15" s="75">
        <v>0.0</v>
      </c>
      <c r="AG15" s="75">
        <v>3.0</v>
      </c>
      <c r="AH15" s="79" t="s">
        <v>388</v>
      </c>
    </row>
    <row r="16" ht="14.25" customHeight="1">
      <c r="A16" s="51" t="s">
        <v>115</v>
      </c>
      <c r="B16" s="51" t="s">
        <v>116</v>
      </c>
      <c r="C16" s="32">
        <v>5000.0</v>
      </c>
      <c r="D16" s="32" t="str">
        <f>'Raw material'!CK17</f>
        <v>981.2</v>
      </c>
      <c r="E16" s="32" t="str">
        <f t="shared" si="1"/>
        <v>4018.8</v>
      </c>
      <c r="F16" s="13"/>
      <c r="G16" s="13"/>
      <c r="H16" s="15" t="s">
        <v>14</v>
      </c>
      <c r="I16" s="77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13"/>
      <c r="AB16" s="13"/>
      <c r="AC16" s="82">
        <v>12.0</v>
      </c>
      <c r="AD16" s="14"/>
      <c r="AE16" s="72" t="str">
        <f t="shared" si="2"/>
        <v>0</v>
      </c>
      <c r="AF16" s="72"/>
      <c r="AG16" s="72"/>
      <c r="AH16" s="80"/>
    </row>
    <row r="17" ht="14.25" customHeight="1">
      <c r="A17" s="62" t="s">
        <v>117</v>
      </c>
      <c r="B17" s="62" t="s">
        <v>118</v>
      </c>
      <c r="C17" s="76">
        <v>449.0</v>
      </c>
      <c r="D17" s="76" t="str">
        <f>'Raw material'!CK18</f>
        <v>0</v>
      </c>
      <c r="E17" s="76" t="str">
        <f t="shared" si="1"/>
        <v>449</v>
      </c>
      <c r="F17" s="13"/>
      <c r="G17" s="13"/>
      <c r="H17" s="15" t="s">
        <v>15</v>
      </c>
      <c r="I17" s="77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13"/>
      <c r="AB17" s="13"/>
      <c r="AC17" s="82">
        <v>13.0</v>
      </c>
      <c r="AD17" s="17"/>
      <c r="AE17" s="72" t="str">
        <f t="shared" si="2"/>
        <v>0</v>
      </c>
      <c r="AF17" s="72"/>
      <c r="AG17" s="72"/>
      <c r="AH17" s="80"/>
    </row>
    <row r="18" ht="14.25" customHeight="1">
      <c r="A18" s="51" t="s">
        <v>119</v>
      </c>
      <c r="B18" s="51" t="s">
        <v>120</v>
      </c>
      <c r="C18" s="32">
        <v>408.0</v>
      </c>
      <c r="D18" s="32" t="str">
        <f>'Raw material'!CK19</f>
        <v>90</v>
      </c>
      <c r="E18" s="32" t="str">
        <f t="shared" si="1"/>
        <v>318</v>
      </c>
      <c r="F18" s="13"/>
      <c r="G18" s="13"/>
      <c r="H18" s="15" t="s">
        <v>16</v>
      </c>
      <c r="I18" s="74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13"/>
      <c r="AB18" s="13"/>
      <c r="AC18" s="82">
        <v>14.0</v>
      </c>
      <c r="AD18" s="17"/>
      <c r="AE18" s="72" t="str">
        <f t="shared" si="2"/>
        <v>0</v>
      </c>
      <c r="AF18" s="72"/>
      <c r="AG18" s="72"/>
      <c r="AH18" s="80"/>
    </row>
    <row r="19" ht="14.25" customHeight="1">
      <c r="A19" s="62" t="s">
        <v>121</v>
      </c>
      <c r="B19" s="62" t="s">
        <v>122</v>
      </c>
      <c r="C19" s="76">
        <v>0.0</v>
      </c>
      <c r="D19" s="76" t="str">
        <f>'Raw material'!CK20</f>
        <v>100</v>
      </c>
      <c r="E19" s="76" t="str">
        <f t="shared" si="1"/>
        <v>-100</v>
      </c>
      <c r="F19" s="13"/>
      <c r="G19" s="13"/>
      <c r="H19" s="15" t="s">
        <v>17</v>
      </c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13"/>
      <c r="AB19" s="13"/>
      <c r="AC19" s="82">
        <v>15.0</v>
      </c>
      <c r="AD19" s="27"/>
      <c r="AE19" s="72" t="str">
        <f t="shared" si="2"/>
        <v>0</v>
      </c>
      <c r="AF19" s="72"/>
      <c r="AG19" s="72"/>
      <c r="AH19" s="80"/>
    </row>
    <row r="20" ht="14.25" customHeight="1">
      <c r="A20" s="51" t="s">
        <v>123</v>
      </c>
      <c r="B20" s="51" t="s">
        <v>124</v>
      </c>
      <c r="C20" s="32">
        <v>40.0</v>
      </c>
      <c r="D20" s="32" t="str">
        <f>'Raw material'!CK21</f>
        <v>0</v>
      </c>
      <c r="E20" s="32" t="str">
        <f t="shared" si="1"/>
        <v>40</v>
      </c>
      <c r="F20" s="13"/>
      <c r="G20" s="13"/>
      <c r="H20" s="15" t="s">
        <v>412</v>
      </c>
      <c r="I20" s="74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13"/>
      <c r="AB20" s="13"/>
      <c r="AC20" s="82">
        <v>16.0</v>
      </c>
      <c r="AD20" s="23"/>
      <c r="AE20" s="72" t="str">
        <f t="shared" si="2"/>
        <v>0</v>
      </c>
      <c r="AF20" s="72"/>
      <c r="AG20" s="72"/>
      <c r="AH20" s="80"/>
    </row>
    <row r="21" ht="14.25" customHeight="1">
      <c r="A21" s="51"/>
      <c r="B21" s="51"/>
      <c r="C21" s="32"/>
      <c r="D21" s="32"/>
      <c r="E21" s="32"/>
      <c r="F21" s="13"/>
      <c r="G21" s="13"/>
      <c r="H21" s="15" t="s">
        <v>19</v>
      </c>
      <c r="I21" s="74">
        <v>1.0</v>
      </c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13"/>
      <c r="AB21" s="13"/>
      <c r="AC21" s="82"/>
      <c r="AD21" s="23"/>
      <c r="AE21" s="72"/>
      <c r="AF21" s="72"/>
      <c r="AG21" s="72"/>
      <c r="AH21" s="80"/>
    </row>
    <row r="22" ht="14.25" customHeight="1">
      <c r="A22" s="62" t="s">
        <v>125</v>
      </c>
      <c r="B22" s="62" t="s">
        <v>126</v>
      </c>
      <c r="C22" s="76">
        <v>487.0</v>
      </c>
      <c r="D22" s="76" t="str">
        <f>'Raw material'!CK22</f>
        <v>0</v>
      </c>
      <c r="E22" s="76" t="str">
        <f t="shared" ref="E22:E153" si="3">C22-D22</f>
        <v>487</v>
      </c>
      <c r="F22" s="13"/>
      <c r="G22" s="13"/>
      <c r="H22" s="17" t="s">
        <v>20</v>
      </c>
      <c r="I22" s="28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13"/>
      <c r="AB22" s="13"/>
      <c r="AC22" s="82">
        <v>17.0</v>
      </c>
      <c r="AD22" s="23"/>
      <c r="AE22" s="72" t="str">
        <f t="shared" ref="AE22:AE28" si="4">AF22-AG22</f>
        <v>0</v>
      </c>
      <c r="AF22" s="72"/>
      <c r="AG22" s="72"/>
      <c r="AH22" s="80"/>
    </row>
    <row r="23" ht="14.25" customHeight="1">
      <c r="A23" s="51" t="s">
        <v>127</v>
      </c>
      <c r="B23" s="51" t="s">
        <v>128</v>
      </c>
      <c r="C23" s="32">
        <v>162.7</v>
      </c>
      <c r="D23" s="32" t="str">
        <f>'Raw material'!CK23</f>
        <v>10.4</v>
      </c>
      <c r="E23" s="32" t="str">
        <f t="shared" si="3"/>
        <v>152.3</v>
      </c>
      <c r="F23" s="13"/>
      <c r="G23" s="13"/>
      <c r="H23" s="17" t="s">
        <v>21</v>
      </c>
      <c r="I23" s="28">
        <v>1.0</v>
      </c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>
        <v>9.0</v>
      </c>
      <c r="U23" s="75"/>
      <c r="V23" s="75"/>
      <c r="W23" s="75"/>
      <c r="X23" s="75"/>
      <c r="Y23" s="75"/>
      <c r="Z23" s="75"/>
      <c r="AA23" s="13"/>
      <c r="AB23" s="13"/>
      <c r="AC23" s="82">
        <v>18.0</v>
      </c>
      <c r="AD23" s="27"/>
      <c r="AE23" s="72" t="str">
        <f t="shared" si="4"/>
        <v>0</v>
      </c>
      <c r="AF23" s="72"/>
      <c r="AG23" s="72"/>
      <c r="AH23" s="80"/>
    </row>
    <row r="24" ht="15.0" customHeight="1">
      <c r="A24" s="62" t="s">
        <v>129</v>
      </c>
      <c r="B24" s="83" t="s">
        <v>413</v>
      </c>
      <c r="C24" s="84">
        <v>77.47</v>
      </c>
      <c r="D24" s="84" t="str">
        <f>'Raw material'!CK24</f>
        <v>8.5</v>
      </c>
      <c r="E24" s="84" t="str">
        <f t="shared" si="3"/>
        <v>68.97</v>
      </c>
      <c r="F24" s="13"/>
      <c r="G24" s="13"/>
      <c r="H24" s="17" t="s">
        <v>22</v>
      </c>
      <c r="I24" s="19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13"/>
      <c r="AB24" s="13"/>
      <c r="AC24" s="82">
        <v>19.0</v>
      </c>
      <c r="AD24" s="23"/>
      <c r="AE24" s="72" t="str">
        <f t="shared" si="4"/>
        <v>0</v>
      </c>
      <c r="AF24" s="72"/>
      <c r="AG24" s="72"/>
      <c r="AH24" s="80"/>
    </row>
    <row r="25" ht="14.25" customHeight="1">
      <c r="A25" s="51" t="s">
        <v>131</v>
      </c>
      <c r="B25" s="51" t="s">
        <v>132</v>
      </c>
      <c r="C25" s="32"/>
      <c r="D25" s="32" t="str">
        <f>'Raw material'!CK25</f>
        <v>0</v>
      </c>
      <c r="E25" s="32" t="str">
        <f t="shared" si="3"/>
        <v>0</v>
      </c>
      <c r="F25" s="13"/>
      <c r="G25" s="13"/>
      <c r="H25" s="18" t="s">
        <v>23</v>
      </c>
      <c r="I25" s="19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13"/>
      <c r="AB25" s="13"/>
      <c r="AC25" s="82">
        <v>20.0</v>
      </c>
      <c r="AD25" s="23"/>
      <c r="AE25" s="72" t="str">
        <f t="shared" si="4"/>
        <v>0</v>
      </c>
      <c r="AF25" s="72"/>
      <c r="AG25" s="72"/>
      <c r="AH25" s="80"/>
    </row>
    <row r="26" ht="14.25" customHeight="1">
      <c r="A26" s="62" t="s">
        <v>133</v>
      </c>
      <c r="B26" s="62" t="s">
        <v>134</v>
      </c>
      <c r="C26" s="76">
        <v>565.0</v>
      </c>
      <c r="D26" s="76" t="str">
        <f>'Raw material'!CK26</f>
        <v>40</v>
      </c>
      <c r="E26" s="76" t="str">
        <f t="shared" si="3"/>
        <v>525</v>
      </c>
      <c r="F26" s="13"/>
      <c r="G26" s="13"/>
      <c r="H26" s="17" t="s">
        <v>24</v>
      </c>
      <c r="I26" s="19">
        <v>2.0</v>
      </c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13"/>
      <c r="AB26" s="13"/>
      <c r="AC26" s="82">
        <v>21.0</v>
      </c>
      <c r="AD26" s="24"/>
      <c r="AE26" s="72" t="str">
        <f t="shared" si="4"/>
        <v>0</v>
      </c>
      <c r="AF26" s="72"/>
      <c r="AG26" s="72"/>
      <c r="AH26" s="80"/>
    </row>
    <row r="27" ht="14.25" customHeight="1">
      <c r="A27" s="51" t="s">
        <v>135</v>
      </c>
      <c r="B27" s="51" t="s">
        <v>136</v>
      </c>
      <c r="C27" s="32">
        <v>597.0</v>
      </c>
      <c r="D27" s="32" t="str">
        <f>'Raw material'!CK27</f>
        <v>50</v>
      </c>
      <c r="E27" s="32" t="str">
        <f t="shared" si="3"/>
        <v>547</v>
      </c>
      <c r="F27" s="13"/>
      <c r="G27" s="13"/>
      <c r="H27" s="17" t="s">
        <v>25</v>
      </c>
      <c r="I27" s="19">
        <v>0.0</v>
      </c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13"/>
      <c r="AB27" s="13"/>
      <c r="AC27" s="82"/>
      <c r="AD27" s="24"/>
      <c r="AE27" s="72" t="str">
        <f t="shared" si="4"/>
        <v>0</v>
      </c>
      <c r="AF27" s="72"/>
      <c r="AG27" s="72"/>
      <c r="AH27" s="80"/>
    </row>
    <row r="28" ht="14.25" customHeight="1">
      <c r="A28" s="62" t="s">
        <v>137</v>
      </c>
      <c r="B28" s="62" t="s">
        <v>138</v>
      </c>
      <c r="C28" s="76">
        <v>475.0</v>
      </c>
      <c r="D28" s="76" t="str">
        <f>'Raw material'!CK28</f>
        <v>360</v>
      </c>
      <c r="E28" s="76" t="str">
        <f t="shared" si="3"/>
        <v>115</v>
      </c>
      <c r="F28" s="13"/>
      <c r="G28" s="13"/>
      <c r="H28" s="17" t="s">
        <v>26</v>
      </c>
      <c r="I28" s="19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13"/>
      <c r="AB28" s="13"/>
      <c r="AC28" s="82"/>
      <c r="AD28" s="24"/>
      <c r="AE28" s="72" t="str">
        <f t="shared" si="4"/>
        <v>0</v>
      </c>
      <c r="AF28" s="72"/>
      <c r="AG28" s="72"/>
      <c r="AH28" s="80"/>
    </row>
    <row r="29" ht="18.0" customHeight="1">
      <c r="A29" s="51" t="s">
        <v>139</v>
      </c>
      <c r="B29" s="51" t="s">
        <v>140</v>
      </c>
      <c r="C29" s="32"/>
      <c r="D29" s="32" t="str">
        <f>'Raw material'!CK29</f>
        <v>0</v>
      </c>
      <c r="E29" s="32" t="str">
        <f t="shared" si="3"/>
        <v>0</v>
      </c>
      <c r="F29" s="13"/>
      <c r="G29" s="13"/>
      <c r="H29" s="17" t="s">
        <v>27</v>
      </c>
      <c r="I29" s="19">
        <v>3.0</v>
      </c>
      <c r="J29" s="75"/>
      <c r="K29" s="75"/>
      <c r="L29" s="75"/>
      <c r="M29" s="75"/>
      <c r="N29" s="75"/>
      <c r="O29" s="75"/>
      <c r="P29" s="75"/>
      <c r="Q29" s="75"/>
      <c r="R29" s="81">
        <v>2800.0</v>
      </c>
      <c r="S29" s="75"/>
      <c r="T29" s="75"/>
      <c r="U29" s="75"/>
      <c r="V29" s="75"/>
      <c r="W29" s="75"/>
      <c r="X29" s="75"/>
      <c r="Y29" s="75"/>
      <c r="Z29" s="75"/>
      <c r="AA29" s="13"/>
      <c r="AB29" s="13"/>
      <c r="AH29" s="80"/>
    </row>
    <row r="30" ht="14.25" customHeight="1">
      <c r="A30" s="62" t="s">
        <v>141</v>
      </c>
      <c r="B30" s="62" t="s">
        <v>142</v>
      </c>
      <c r="C30" s="76">
        <v>527.0</v>
      </c>
      <c r="D30" s="76" t="str">
        <f>'Raw material'!CK30</f>
        <v>46</v>
      </c>
      <c r="E30" s="76" t="str">
        <f t="shared" si="3"/>
        <v>481</v>
      </c>
      <c r="F30" s="13"/>
      <c r="G30" s="13"/>
      <c r="H30" s="18" t="s">
        <v>28</v>
      </c>
      <c r="I30" s="19">
        <v>1.0</v>
      </c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>
        <v>11.0</v>
      </c>
      <c r="U30" s="75"/>
      <c r="V30" s="75"/>
      <c r="W30" s="75"/>
      <c r="X30" s="75"/>
      <c r="Y30" s="75"/>
      <c r="Z30" s="75"/>
      <c r="AA30" s="13"/>
      <c r="AB30" s="13"/>
      <c r="AH30" s="80"/>
    </row>
    <row r="31" ht="14.25" customHeight="1">
      <c r="A31" s="51" t="s">
        <v>143</v>
      </c>
      <c r="B31" s="51" t="s">
        <v>144</v>
      </c>
      <c r="C31" s="32"/>
      <c r="D31" s="32" t="str">
        <f>'Raw material'!CK31</f>
        <v>0</v>
      </c>
      <c r="E31" s="32" t="str">
        <f t="shared" si="3"/>
        <v>0</v>
      </c>
      <c r="F31" s="13"/>
      <c r="G31" s="13"/>
      <c r="H31" s="18" t="s">
        <v>29</v>
      </c>
      <c r="I31" s="19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13"/>
      <c r="AB31" s="13"/>
      <c r="AH31" s="80"/>
    </row>
    <row r="32" ht="14.25" customHeight="1">
      <c r="A32" s="62" t="s">
        <v>145</v>
      </c>
      <c r="B32" s="62" t="s">
        <v>146</v>
      </c>
      <c r="C32" s="76">
        <v>258.0</v>
      </c>
      <c r="D32" s="76" t="str">
        <f>'Raw material'!CK32</f>
        <v>2</v>
      </c>
      <c r="E32" s="76" t="str">
        <f t="shared" si="3"/>
        <v>256</v>
      </c>
      <c r="F32" s="13"/>
      <c r="G32" s="13"/>
      <c r="H32" s="18" t="s">
        <v>30</v>
      </c>
      <c r="I32" s="19">
        <v>1.0</v>
      </c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13"/>
      <c r="AB32" s="13"/>
      <c r="AD32" s="13"/>
      <c r="AH32" s="80"/>
    </row>
    <row r="33" ht="14.25" customHeight="1">
      <c r="A33" s="51" t="s">
        <v>147</v>
      </c>
      <c r="B33" s="51" t="s">
        <v>148</v>
      </c>
      <c r="C33" s="32">
        <v>906.7</v>
      </c>
      <c r="D33" s="32" t="str">
        <f>'Raw material'!CK33</f>
        <v>24.6</v>
      </c>
      <c r="E33" s="32" t="str">
        <f t="shared" si="3"/>
        <v>882.1</v>
      </c>
      <c r="F33" s="13"/>
      <c r="G33" s="13"/>
      <c r="H33" s="18" t="s">
        <v>31</v>
      </c>
      <c r="I33" s="19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13"/>
      <c r="AB33" s="13"/>
      <c r="AD33" s="72" t="s">
        <v>414</v>
      </c>
      <c r="AH33" s="80"/>
    </row>
    <row r="34" ht="18.0" customHeight="1">
      <c r="A34" s="62" t="s">
        <v>149</v>
      </c>
      <c r="B34" s="62" t="s">
        <v>150</v>
      </c>
      <c r="C34" s="76">
        <v>27.0</v>
      </c>
      <c r="D34" s="76" t="str">
        <f>'Raw material'!CK34</f>
        <v>12</v>
      </c>
      <c r="E34" s="76" t="str">
        <f t="shared" si="3"/>
        <v>15</v>
      </c>
      <c r="F34" s="13"/>
      <c r="G34" s="13"/>
      <c r="H34" s="18" t="s">
        <v>415</v>
      </c>
      <c r="I34" s="19">
        <v>1.0</v>
      </c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13"/>
      <c r="AB34" s="13"/>
      <c r="AD34" s="81" t="s">
        <v>416</v>
      </c>
      <c r="AH34" s="80"/>
    </row>
    <row r="35" ht="14.25" customHeight="1">
      <c r="A35" s="51" t="s">
        <v>151</v>
      </c>
      <c r="B35" s="51" t="s">
        <v>152</v>
      </c>
      <c r="C35" s="32">
        <v>983.0</v>
      </c>
      <c r="D35" s="32" t="str">
        <f>'Raw material'!CK35</f>
        <v>41</v>
      </c>
      <c r="E35" s="32" t="str">
        <f t="shared" si="3"/>
        <v>942</v>
      </c>
      <c r="F35" s="13"/>
      <c r="G35" s="13"/>
      <c r="H35" s="17" t="s">
        <v>33</v>
      </c>
      <c r="I35" s="28">
        <v>1.0</v>
      </c>
      <c r="J35" s="75"/>
      <c r="K35" s="75"/>
      <c r="L35" s="75"/>
      <c r="M35" s="75"/>
      <c r="N35" s="75"/>
      <c r="O35" s="75"/>
      <c r="P35" s="75"/>
      <c r="Q35" s="75">
        <v>270.0</v>
      </c>
      <c r="R35" s="75"/>
      <c r="S35" s="75"/>
      <c r="T35" s="75"/>
      <c r="U35" s="75"/>
      <c r="V35" s="75"/>
      <c r="W35" s="75"/>
      <c r="X35" s="75"/>
      <c r="Y35" s="75"/>
      <c r="Z35" s="75"/>
      <c r="AA35" s="13"/>
      <c r="AB35" s="13"/>
      <c r="AH35" s="80"/>
    </row>
    <row r="36" ht="14.25" customHeight="1">
      <c r="A36" s="62" t="s">
        <v>153</v>
      </c>
      <c r="B36" s="62" t="s">
        <v>154</v>
      </c>
      <c r="C36" s="76">
        <v>126.6</v>
      </c>
      <c r="D36" s="76" t="str">
        <f>'Raw material'!CK36</f>
        <v>4</v>
      </c>
      <c r="E36" s="76" t="str">
        <f t="shared" si="3"/>
        <v>122.6</v>
      </c>
      <c r="F36" s="13"/>
      <c r="G36" s="13"/>
      <c r="H36" s="18" t="s">
        <v>34</v>
      </c>
      <c r="I36" s="28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13"/>
      <c r="AB36" s="13"/>
      <c r="AH36" s="80"/>
    </row>
    <row r="37" ht="14.25" customHeight="1">
      <c r="A37" s="51" t="s">
        <v>155</v>
      </c>
      <c r="B37" s="51" t="s">
        <v>156</v>
      </c>
      <c r="C37" s="32">
        <v>235.0</v>
      </c>
      <c r="D37" s="32" t="str">
        <f>'Raw material'!CK37</f>
        <v>24</v>
      </c>
      <c r="E37" s="32" t="str">
        <f t="shared" si="3"/>
        <v>211</v>
      </c>
      <c r="F37" s="13"/>
      <c r="G37" s="13"/>
      <c r="H37" s="18" t="s">
        <v>35</v>
      </c>
      <c r="I37" s="28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13"/>
      <c r="AB37" s="13"/>
      <c r="AH37" s="80"/>
    </row>
    <row r="38" ht="14.25" customHeight="1">
      <c r="A38" s="62" t="s">
        <v>157</v>
      </c>
      <c r="B38" s="62" t="s">
        <v>158</v>
      </c>
      <c r="C38" s="76">
        <v>1.0</v>
      </c>
      <c r="D38" s="76" t="str">
        <f>'Raw material'!CK38</f>
        <v>0.1</v>
      </c>
      <c r="E38" s="76" t="str">
        <f t="shared" si="3"/>
        <v>0.9</v>
      </c>
      <c r="F38" s="13"/>
      <c r="G38" s="13"/>
      <c r="H38" s="18" t="s">
        <v>36</v>
      </c>
      <c r="I38" s="28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13"/>
      <c r="AB38" s="13"/>
    </row>
    <row r="39" ht="14.25" customHeight="1">
      <c r="A39" s="51" t="s">
        <v>159</v>
      </c>
      <c r="B39" s="51" t="s">
        <v>160</v>
      </c>
      <c r="C39" s="32"/>
      <c r="D39" s="32" t="str">
        <f>'Raw material'!CK39</f>
        <v>0</v>
      </c>
      <c r="E39" s="32" t="str">
        <f t="shared" si="3"/>
        <v>0</v>
      </c>
      <c r="F39" s="13"/>
      <c r="G39" s="13"/>
      <c r="H39" s="18" t="s">
        <v>37</v>
      </c>
      <c r="I39" s="28">
        <v>1.0</v>
      </c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13"/>
      <c r="AB39" s="13"/>
    </row>
    <row r="40" ht="14.25" customHeight="1">
      <c r="A40" s="62" t="s">
        <v>161</v>
      </c>
      <c r="B40" s="62" t="s">
        <v>162</v>
      </c>
      <c r="C40" s="76">
        <v>0.549</v>
      </c>
      <c r="D40" s="76" t="str">
        <f>'Raw material'!CK40</f>
        <v>0.006</v>
      </c>
      <c r="E40" s="76" t="str">
        <f t="shared" si="3"/>
        <v>0.543</v>
      </c>
      <c r="F40" s="13"/>
      <c r="G40" s="13"/>
      <c r="H40" s="18" t="s">
        <v>38</v>
      </c>
      <c r="I40" s="19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13"/>
      <c r="AB40" s="13"/>
    </row>
    <row r="41" ht="14.25" customHeight="1">
      <c r="A41" s="51" t="s">
        <v>163</v>
      </c>
      <c r="B41" s="51" t="s">
        <v>164</v>
      </c>
      <c r="C41" s="32"/>
      <c r="D41" s="32" t="str">
        <f>'Raw material'!CK41</f>
        <v>0</v>
      </c>
      <c r="E41" s="32" t="str">
        <f t="shared" si="3"/>
        <v>0</v>
      </c>
      <c r="F41" s="13"/>
      <c r="G41" s="13"/>
      <c r="H41" s="17" t="s">
        <v>39</v>
      </c>
      <c r="I41" s="19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13"/>
      <c r="AB41" s="13"/>
    </row>
    <row r="42" ht="14.25" customHeight="1">
      <c r="A42" s="62" t="s">
        <v>165</v>
      </c>
      <c r="B42" s="62" t="s">
        <v>166</v>
      </c>
      <c r="C42" s="76">
        <v>3.619</v>
      </c>
      <c r="D42" s="76" t="str">
        <f>'Raw material'!CK42</f>
        <v>0.009</v>
      </c>
      <c r="E42" s="76" t="str">
        <f t="shared" si="3"/>
        <v>3.61</v>
      </c>
      <c r="F42" s="13"/>
      <c r="G42" s="13"/>
      <c r="H42" s="18" t="s">
        <v>40</v>
      </c>
      <c r="I42" s="28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13"/>
      <c r="AB42" s="13"/>
    </row>
    <row r="43" ht="14.25" customHeight="1">
      <c r="A43" s="51" t="s">
        <v>167</v>
      </c>
      <c r="B43" s="51" t="s">
        <v>168</v>
      </c>
      <c r="C43" s="32">
        <v>678.0</v>
      </c>
      <c r="D43" s="32" t="str">
        <f>'Raw material'!CK43</f>
        <v>100</v>
      </c>
      <c r="E43" s="32" t="str">
        <f t="shared" si="3"/>
        <v>578</v>
      </c>
      <c r="F43" s="13"/>
      <c r="G43" s="13"/>
      <c r="H43" s="17" t="s">
        <v>41</v>
      </c>
      <c r="I43" s="28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13"/>
      <c r="AB43" s="13"/>
    </row>
    <row r="44" ht="14.25" customHeight="1">
      <c r="A44" s="62" t="s">
        <v>169</v>
      </c>
      <c r="B44" s="62" t="s">
        <v>170</v>
      </c>
      <c r="C44" s="76">
        <v>212.0</v>
      </c>
      <c r="D44" s="76" t="str">
        <f>'Raw material'!CK44</f>
        <v>25</v>
      </c>
      <c r="E44" s="76" t="str">
        <f t="shared" si="3"/>
        <v>187</v>
      </c>
      <c r="F44" s="13"/>
      <c r="G44" s="13"/>
      <c r="H44" s="17" t="s">
        <v>42</v>
      </c>
      <c r="I44" s="28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13"/>
      <c r="AB44" s="13"/>
    </row>
    <row r="45" ht="14.25" customHeight="1">
      <c r="A45" s="51" t="s">
        <v>171</v>
      </c>
      <c r="B45" s="51" t="s">
        <v>172</v>
      </c>
      <c r="C45" s="32"/>
      <c r="D45" s="32" t="str">
        <f>'Raw material'!CK45</f>
        <v>0</v>
      </c>
      <c r="E45" s="32" t="str">
        <f t="shared" si="3"/>
        <v>0</v>
      </c>
      <c r="F45" s="13"/>
      <c r="G45" s="13"/>
      <c r="H45" s="18" t="s">
        <v>43</v>
      </c>
      <c r="I45" s="18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13"/>
      <c r="AB45" s="13"/>
    </row>
    <row r="46" ht="14.25" customHeight="1">
      <c r="A46" s="62" t="s">
        <v>173</v>
      </c>
      <c r="B46" s="62" t="s">
        <v>174</v>
      </c>
      <c r="C46" s="76">
        <v>35.5</v>
      </c>
      <c r="D46" s="76" t="str">
        <f>'Raw material'!CK46</f>
        <v>30</v>
      </c>
      <c r="E46" s="76" t="str">
        <f t="shared" si="3"/>
        <v>5.5</v>
      </c>
      <c r="F46" s="13"/>
      <c r="G46" s="13"/>
      <c r="H46" s="22" t="s">
        <v>44</v>
      </c>
      <c r="I46" s="85">
        <v>1.0</v>
      </c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13"/>
      <c r="V46" s="75"/>
      <c r="W46" s="75"/>
      <c r="X46" s="75"/>
      <c r="Y46" s="75"/>
      <c r="Z46" s="75"/>
      <c r="AA46" s="13"/>
      <c r="AB46" s="13"/>
    </row>
    <row r="47" ht="21.0" customHeight="1">
      <c r="A47" s="51" t="s">
        <v>175</v>
      </c>
      <c r="B47" s="51" t="s">
        <v>176</v>
      </c>
      <c r="C47" s="32">
        <v>26.433</v>
      </c>
      <c r="D47" s="32" t="str">
        <f>'Raw material'!CK47</f>
        <v>72.8625</v>
      </c>
      <c r="E47" s="32" t="str">
        <f t="shared" si="3"/>
        <v>-46.4295</v>
      </c>
      <c r="F47" s="13"/>
      <c r="G47" s="13"/>
      <c r="H47" s="22" t="s">
        <v>45</v>
      </c>
      <c r="I47" s="8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13"/>
      <c r="AB47" s="13"/>
    </row>
    <row r="48" ht="14.25" customHeight="1">
      <c r="A48" s="62" t="s">
        <v>177</v>
      </c>
      <c r="B48" s="62" t="s">
        <v>178</v>
      </c>
      <c r="C48" s="76"/>
      <c r="D48" s="76" t="str">
        <f>'Raw material'!CK48</f>
        <v>0</v>
      </c>
      <c r="E48" s="76" t="str">
        <f t="shared" si="3"/>
        <v>0</v>
      </c>
      <c r="F48" s="13"/>
      <c r="G48" s="13"/>
      <c r="H48" s="23" t="s">
        <v>46</v>
      </c>
      <c r="I48" s="86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13"/>
      <c r="AB48" s="13"/>
    </row>
    <row r="49" ht="14.25" customHeight="1">
      <c r="A49" s="51" t="s">
        <v>179</v>
      </c>
      <c r="B49" s="51" t="s">
        <v>180</v>
      </c>
      <c r="C49" s="32"/>
      <c r="D49" s="32" t="str">
        <f>'Raw material'!CK49</f>
        <v>0</v>
      </c>
      <c r="E49" s="32" t="str">
        <f t="shared" si="3"/>
        <v>0</v>
      </c>
      <c r="F49" s="13"/>
      <c r="G49" s="13"/>
      <c r="H49" s="87" t="s">
        <v>417</v>
      </c>
      <c r="I49" s="86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13"/>
      <c r="AB49" s="13"/>
    </row>
    <row r="50" ht="18.0" customHeight="1">
      <c r="A50" s="62" t="s">
        <v>181</v>
      </c>
      <c r="B50" s="62" t="s">
        <v>182</v>
      </c>
      <c r="C50" s="76"/>
      <c r="D50" s="76" t="str">
        <f>'Raw material'!CK50</f>
        <v>0</v>
      </c>
      <c r="E50" s="76" t="str">
        <f t="shared" si="3"/>
        <v>0</v>
      </c>
      <c r="F50" s="13"/>
      <c r="G50" s="13"/>
      <c r="H50" s="23" t="s">
        <v>418</v>
      </c>
      <c r="I50" s="86">
        <v>0.5</v>
      </c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13"/>
      <c r="AB50" s="13"/>
    </row>
    <row r="51" ht="15.75" customHeight="1">
      <c r="A51" s="51" t="s">
        <v>183</v>
      </c>
      <c r="B51" s="51" t="s">
        <v>184</v>
      </c>
      <c r="C51" s="32"/>
      <c r="D51" s="32" t="str">
        <f>'Raw material'!CK51</f>
        <v>0</v>
      </c>
      <c r="E51" s="32" t="str">
        <f t="shared" si="3"/>
        <v>0</v>
      </c>
      <c r="F51" s="13"/>
      <c r="G51" s="13"/>
      <c r="H51" s="22" t="s">
        <v>49</v>
      </c>
      <c r="I51" s="86">
        <v>1.0</v>
      </c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13"/>
      <c r="AB51" s="13"/>
    </row>
    <row r="52" ht="14.25" customHeight="1">
      <c r="A52" s="62" t="s">
        <v>185</v>
      </c>
      <c r="B52" s="62" t="s">
        <v>186</v>
      </c>
      <c r="C52" s="76">
        <v>3657.0</v>
      </c>
      <c r="D52" s="76" t="str">
        <f>'Raw material'!CK52</f>
        <v>1375.4</v>
      </c>
      <c r="E52" s="76" t="str">
        <f t="shared" si="3"/>
        <v>2281.6</v>
      </c>
      <c r="F52" s="13"/>
      <c r="G52" s="13"/>
      <c r="H52" s="22" t="s">
        <v>50</v>
      </c>
      <c r="I52" s="8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13"/>
      <c r="AB52" s="13"/>
    </row>
    <row r="53" ht="14.25" customHeight="1">
      <c r="A53" s="51" t="s">
        <v>187</v>
      </c>
      <c r="B53" s="51" t="s">
        <v>188</v>
      </c>
      <c r="C53" s="32">
        <v>666.0</v>
      </c>
      <c r="D53" s="32" t="str">
        <f>'Raw material'!CK53</f>
        <v>10</v>
      </c>
      <c r="E53" s="32" t="str">
        <f t="shared" si="3"/>
        <v>656</v>
      </c>
      <c r="F53" s="13"/>
      <c r="G53" s="13"/>
      <c r="H53" s="23" t="s">
        <v>51</v>
      </c>
      <c r="I53" s="8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13"/>
      <c r="AB53" s="13"/>
    </row>
    <row r="54" ht="14.25" customHeight="1">
      <c r="A54" s="62" t="s">
        <v>189</v>
      </c>
      <c r="B54" s="62" t="s">
        <v>190</v>
      </c>
      <c r="C54" s="76">
        <v>1049.5</v>
      </c>
      <c r="D54" s="76" t="str">
        <f>'Raw material'!CK54</f>
        <v>110</v>
      </c>
      <c r="E54" s="76" t="str">
        <f t="shared" si="3"/>
        <v>939.5</v>
      </c>
      <c r="F54" s="13"/>
      <c r="G54" s="13"/>
      <c r="H54" s="22" t="s">
        <v>52</v>
      </c>
      <c r="I54" s="8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13"/>
      <c r="AB54" s="13"/>
    </row>
    <row r="55" ht="18.0" customHeight="1">
      <c r="A55" s="51" t="s">
        <v>191</v>
      </c>
      <c r="B55" s="51" t="s">
        <v>192</v>
      </c>
      <c r="C55" s="32">
        <v>58.35</v>
      </c>
      <c r="D55" s="32" t="str">
        <f>'Raw material'!CK55</f>
        <v>9</v>
      </c>
      <c r="E55" s="32" t="str">
        <f t="shared" si="3"/>
        <v>49.35</v>
      </c>
      <c r="F55" s="13"/>
      <c r="G55" s="13"/>
      <c r="H55" s="23" t="s">
        <v>53</v>
      </c>
      <c r="I55" s="86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13"/>
      <c r="AB55" s="13"/>
    </row>
    <row r="56" ht="17.25" customHeight="1">
      <c r="A56" s="62" t="s">
        <v>193</v>
      </c>
      <c r="B56" s="62" t="s">
        <v>194</v>
      </c>
      <c r="C56" s="76"/>
      <c r="D56" s="76" t="str">
        <f>'Raw material'!CK56</f>
        <v>0</v>
      </c>
      <c r="E56" s="76" t="str">
        <f t="shared" si="3"/>
        <v>0</v>
      </c>
      <c r="F56" s="13"/>
      <c r="G56" s="13"/>
      <c r="H56" s="23" t="s">
        <v>419</v>
      </c>
      <c r="I56" s="8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13"/>
      <c r="AB56" s="13"/>
    </row>
    <row r="57" ht="15.0" customHeight="1">
      <c r="A57" s="51" t="s">
        <v>195</v>
      </c>
      <c r="B57" s="51" t="s">
        <v>196</v>
      </c>
      <c r="C57" s="32">
        <v>0.3</v>
      </c>
      <c r="D57" s="32" t="str">
        <f>'Raw material'!CK57</f>
        <v>0.11</v>
      </c>
      <c r="E57" s="32" t="str">
        <f t="shared" si="3"/>
        <v>0.19</v>
      </c>
      <c r="F57" s="13"/>
      <c r="G57" s="13"/>
      <c r="H57" s="23" t="s">
        <v>420</v>
      </c>
      <c r="I57" s="86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13"/>
      <c r="AB57" s="13"/>
    </row>
    <row r="58" ht="14.25" customHeight="1">
      <c r="A58" s="62" t="s">
        <v>197</v>
      </c>
      <c r="B58" s="62" t="s">
        <v>198</v>
      </c>
      <c r="C58" s="76"/>
      <c r="D58" s="76" t="str">
        <f>'Raw material'!CK58</f>
        <v>0</v>
      </c>
      <c r="E58" s="76" t="str">
        <f t="shared" si="3"/>
        <v>0</v>
      </c>
      <c r="F58" s="13"/>
      <c r="G58" s="13"/>
      <c r="H58" s="22" t="s">
        <v>56</v>
      </c>
      <c r="I58" s="8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13"/>
      <c r="AB58" s="13"/>
    </row>
    <row r="59" ht="14.25" customHeight="1">
      <c r="A59" s="51" t="s">
        <v>199</v>
      </c>
      <c r="B59" s="51" t="s">
        <v>200</v>
      </c>
      <c r="C59" s="32">
        <v>424.64</v>
      </c>
      <c r="D59" s="32" t="str">
        <f>'Raw material'!CK59</f>
        <v>10.52</v>
      </c>
      <c r="E59" s="32" t="str">
        <f t="shared" si="3"/>
        <v>414.12</v>
      </c>
      <c r="F59" s="13"/>
      <c r="G59" s="13"/>
      <c r="H59" s="22" t="s">
        <v>57</v>
      </c>
      <c r="I59" s="22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13"/>
      <c r="AB59" s="13"/>
    </row>
    <row r="60" ht="14.25" customHeight="1">
      <c r="A60" s="62" t="s">
        <v>201</v>
      </c>
      <c r="B60" s="62" t="s">
        <v>202</v>
      </c>
      <c r="C60" s="76"/>
      <c r="D60" s="76" t="str">
        <f>'Raw material'!CK60</f>
        <v>0</v>
      </c>
      <c r="E60" s="76" t="str">
        <f t="shared" si="3"/>
        <v>0</v>
      </c>
      <c r="F60" s="13"/>
      <c r="G60" s="13"/>
      <c r="H60" s="16" t="s">
        <v>58</v>
      </c>
      <c r="I60" s="74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13"/>
      <c r="AB60" s="13"/>
    </row>
    <row r="61" ht="14.25" customHeight="1">
      <c r="A61" s="51" t="s">
        <v>203</v>
      </c>
      <c r="B61" s="51" t="s">
        <v>204</v>
      </c>
      <c r="C61" s="32">
        <v>3190.3</v>
      </c>
      <c r="D61" s="32" t="str">
        <f>'Raw material'!CK61</f>
        <v>365.2</v>
      </c>
      <c r="E61" s="32" t="str">
        <f t="shared" si="3"/>
        <v>2825.1</v>
      </c>
      <c r="F61" s="13"/>
      <c r="G61" s="13"/>
      <c r="H61" s="15" t="s">
        <v>59</v>
      </c>
      <c r="I61" s="74">
        <v>1.0</v>
      </c>
      <c r="J61" s="75"/>
      <c r="K61" s="75"/>
      <c r="L61" s="75"/>
      <c r="M61" s="75"/>
      <c r="N61" s="75"/>
      <c r="O61" s="75"/>
      <c r="P61" s="75"/>
      <c r="Q61" s="75">
        <v>1262.0</v>
      </c>
      <c r="R61" s="75"/>
      <c r="S61" s="75"/>
      <c r="T61" s="75"/>
      <c r="U61" s="75">
        <v>2.0</v>
      </c>
      <c r="V61" s="75"/>
      <c r="W61" s="75"/>
      <c r="X61" s="75"/>
      <c r="Y61" s="75"/>
      <c r="Z61" s="75"/>
      <c r="AA61" s="13"/>
      <c r="AB61" s="13"/>
    </row>
    <row r="62" ht="14.25" customHeight="1">
      <c r="A62" s="62" t="s">
        <v>205</v>
      </c>
      <c r="B62" s="62" t="s">
        <v>206</v>
      </c>
      <c r="C62" s="76">
        <v>983.0</v>
      </c>
      <c r="D62" s="76" t="str">
        <f>'Raw material'!CK62</f>
        <v>204.4</v>
      </c>
      <c r="E62" s="76" t="str">
        <f t="shared" si="3"/>
        <v>778.6</v>
      </c>
      <c r="F62" s="13"/>
      <c r="G62" s="13"/>
      <c r="H62" s="15" t="s">
        <v>421</v>
      </c>
      <c r="I62" s="1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13"/>
      <c r="AB62" s="13"/>
    </row>
    <row r="63" ht="14.25" customHeight="1">
      <c r="A63" s="51" t="s">
        <v>207</v>
      </c>
      <c r="B63" s="51" t="s">
        <v>208</v>
      </c>
      <c r="C63" s="32"/>
      <c r="D63" s="32" t="str">
        <f>'Raw material'!CK63</f>
        <v>0</v>
      </c>
      <c r="E63" s="32" t="str">
        <f t="shared" si="3"/>
        <v>0</v>
      </c>
      <c r="F63" s="13"/>
      <c r="G63" s="13"/>
      <c r="H63" s="24" t="s">
        <v>61</v>
      </c>
      <c r="I63" s="88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13"/>
      <c r="AB63" s="13"/>
    </row>
    <row r="64" ht="14.25" customHeight="1">
      <c r="A64" s="62" t="s">
        <v>209</v>
      </c>
      <c r="B64" s="62" t="s">
        <v>210</v>
      </c>
      <c r="C64" s="76"/>
      <c r="D64" s="76" t="str">
        <f>'Raw material'!CK64</f>
        <v>0</v>
      </c>
      <c r="E64" s="76" t="str">
        <f t="shared" si="3"/>
        <v>0</v>
      </c>
      <c r="F64" s="13"/>
      <c r="G64" s="13"/>
      <c r="H64" s="24" t="s">
        <v>62</v>
      </c>
      <c r="I64" s="88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13"/>
      <c r="AB64" s="13"/>
    </row>
    <row r="65" ht="14.25" customHeight="1">
      <c r="A65" s="51" t="s">
        <v>211</v>
      </c>
      <c r="B65" s="51" t="s">
        <v>212</v>
      </c>
      <c r="C65" s="32">
        <v>751.0</v>
      </c>
      <c r="D65" s="32" t="str">
        <f>'Raw material'!CK65</f>
        <v>20</v>
      </c>
      <c r="E65" s="32" t="str">
        <f t="shared" si="3"/>
        <v>731</v>
      </c>
      <c r="F65" s="13"/>
      <c r="G65" s="13"/>
      <c r="H65" s="24" t="s">
        <v>63</v>
      </c>
      <c r="I65" s="89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13"/>
      <c r="AB65" s="13"/>
    </row>
    <row r="66" ht="14.25" customHeight="1">
      <c r="A66" s="62" t="s">
        <v>213</v>
      </c>
      <c r="B66" s="62" t="s">
        <v>214</v>
      </c>
      <c r="C66" s="76"/>
      <c r="D66" s="76" t="str">
        <f>'Raw material'!CK66</f>
        <v>0</v>
      </c>
      <c r="E66" s="76" t="str">
        <f t="shared" si="3"/>
        <v>0</v>
      </c>
      <c r="F66" s="13"/>
      <c r="G66" s="13"/>
      <c r="H66" s="24" t="s">
        <v>64</v>
      </c>
      <c r="I66" s="88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13"/>
      <c r="AB66" s="13"/>
    </row>
    <row r="67" ht="14.25" customHeight="1">
      <c r="A67" s="51" t="s">
        <v>215</v>
      </c>
      <c r="B67" s="51" t="s">
        <v>216</v>
      </c>
      <c r="C67" s="32">
        <v>139.15</v>
      </c>
      <c r="D67" s="32" t="str">
        <f>'Raw material'!CK67</f>
        <v>3</v>
      </c>
      <c r="E67" s="32" t="str">
        <f t="shared" si="3"/>
        <v>136.15</v>
      </c>
      <c r="F67" s="13"/>
      <c r="G67" s="13"/>
      <c r="H67" s="25" t="s">
        <v>65</v>
      </c>
      <c r="I67" s="88">
        <v>0.5</v>
      </c>
      <c r="J67" s="75"/>
      <c r="K67" s="75"/>
      <c r="L67" s="75"/>
      <c r="M67" s="75"/>
      <c r="N67" s="75"/>
      <c r="O67" s="75"/>
      <c r="P67" s="75"/>
      <c r="Q67" s="75">
        <v>30.0</v>
      </c>
      <c r="R67" s="75"/>
      <c r="S67" s="75"/>
      <c r="T67" s="75"/>
      <c r="U67" s="75"/>
      <c r="V67" s="75"/>
      <c r="W67" s="75"/>
      <c r="X67" s="75"/>
      <c r="Y67" s="75"/>
      <c r="Z67" s="75"/>
      <c r="AA67" s="13"/>
      <c r="AB67" s="13"/>
    </row>
    <row r="68" ht="14.25" customHeight="1">
      <c r="A68" s="62" t="s">
        <v>217</v>
      </c>
      <c r="B68" s="62" t="s">
        <v>218</v>
      </c>
      <c r="C68" s="76"/>
      <c r="D68" s="76" t="str">
        <f>'Raw material'!CK68</f>
        <v>0</v>
      </c>
      <c r="E68" s="76" t="str">
        <f t="shared" si="3"/>
        <v>0</v>
      </c>
      <c r="F68" s="13"/>
      <c r="G68" s="13"/>
      <c r="H68" s="24" t="s">
        <v>66</v>
      </c>
      <c r="I68" s="88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13"/>
      <c r="AB68" s="13"/>
    </row>
    <row r="69" ht="14.25" customHeight="1">
      <c r="A69" s="51" t="s">
        <v>219</v>
      </c>
      <c r="B69" s="51" t="s">
        <v>220</v>
      </c>
      <c r="C69" s="32">
        <v>6540.4</v>
      </c>
      <c r="D69" s="32" t="str">
        <f>'Raw material'!CK69</f>
        <v>147.2</v>
      </c>
      <c r="E69" s="32" t="str">
        <f t="shared" si="3"/>
        <v>6393.2</v>
      </c>
      <c r="F69" s="13"/>
      <c r="G69" s="13"/>
      <c r="H69" s="24" t="s">
        <v>67</v>
      </c>
      <c r="I69" s="88">
        <v>0.5</v>
      </c>
      <c r="J69" s="75"/>
      <c r="K69" s="75"/>
      <c r="L69" s="13"/>
      <c r="M69" s="75"/>
      <c r="N69" s="75"/>
      <c r="O69" s="75"/>
      <c r="P69" s="75"/>
      <c r="Q69" s="75"/>
      <c r="R69" s="75"/>
      <c r="S69" s="75"/>
      <c r="T69" s="75">
        <v>100.0</v>
      </c>
      <c r="U69" s="75"/>
      <c r="V69" s="75"/>
      <c r="W69" s="75"/>
      <c r="X69" s="75"/>
      <c r="Y69" s="75"/>
      <c r="Z69" s="75"/>
      <c r="AA69" s="13"/>
      <c r="AB69" s="13"/>
    </row>
    <row r="70" ht="14.25" customHeight="1">
      <c r="A70" s="62" t="s">
        <v>221</v>
      </c>
      <c r="B70" s="62" t="s">
        <v>222</v>
      </c>
      <c r="C70" s="76"/>
      <c r="D70" s="76" t="str">
        <f>'Raw material'!CK70</f>
        <v>0</v>
      </c>
      <c r="E70" s="76" t="str">
        <f t="shared" si="3"/>
        <v>0</v>
      </c>
      <c r="F70" s="13"/>
      <c r="G70" s="13"/>
      <c r="H70" s="24" t="s">
        <v>68</v>
      </c>
      <c r="I70" s="88">
        <v>0.5</v>
      </c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13"/>
      <c r="AB70" s="13"/>
    </row>
    <row r="71" ht="17.25" customHeight="1">
      <c r="A71" s="51" t="s">
        <v>223</v>
      </c>
      <c r="B71" s="51" t="s">
        <v>422</v>
      </c>
      <c r="C71" s="32">
        <v>115.0</v>
      </c>
      <c r="D71" s="32" t="str">
        <f>'Raw material'!CK71</f>
        <v>12</v>
      </c>
      <c r="E71" s="32" t="str">
        <f t="shared" si="3"/>
        <v>103</v>
      </c>
      <c r="F71" s="13"/>
      <c r="G71" s="13"/>
      <c r="H71" s="24" t="s">
        <v>69</v>
      </c>
      <c r="I71" s="88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13"/>
      <c r="AB71" s="13"/>
    </row>
    <row r="72" ht="14.25" customHeight="1">
      <c r="A72" s="62" t="s">
        <v>225</v>
      </c>
      <c r="B72" s="62" t="s">
        <v>226</v>
      </c>
      <c r="C72" s="76">
        <v>192.65</v>
      </c>
      <c r="D72" s="76" t="str">
        <f>'Raw material'!CK72</f>
        <v>7.7</v>
      </c>
      <c r="E72" s="76" t="str">
        <f t="shared" si="3"/>
        <v>184.95</v>
      </c>
      <c r="F72" s="13"/>
      <c r="G72" s="13"/>
      <c r="H72" s="24" t="s">
        <v>70</v>
      </c>
      <c r="I72" s="88">
        <v>0.5</v>
      </c>
      <c r="J72" s="75"/>
      <c r="K72" s="75"/>
      <c r="L72" s="75"/>
      <c r="M72" s="75"/>
      <c r="N72" s="75">
        <v>14.0</v>
      </c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13"/>
      <c r="AB72" s="13"/>
      <c r="AD72" s="13"/>
      <c r="AE72" s="13"/>
      <c r="AF72" s="73"/>
      <c r="AG72" s="73"/>
    </row>
    <row r="73" ht="21.75" customHeight="1">
      <c r="A73" s="51" t="s">
        <v>227</v>
      </c>
      <c r="B73" s="51" t="s">
        <v>228</v>
      </c>
      <c r="C73" s="32"/>
      <c r="D73" s="32" t="str">
        <f>'Raw material'!CK73</f>
        <v>0</v>
      </c>
      <c r="E73" s="32" t="str">
        <f t="shared" si="3"/>
        <v>0</v>
      </c>
      <c r="F73" s="13"/>
      <c r="G73" s="13"/>
      <c r="H73" s="24" t="s">
        <v>71</v>
      </c>
      <c r="I73" s="88">
        <v>1.0</v>
      </c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13"/>
      <c r="AB73" s="13"/>
      <c r="AD73" s="13"/>
      <c r="AE73" s="13"/>
      <c r="AF73" s="73"/>
      <c r="AG73" s="73"/>
    </row>
    <row r="74" ht="14.25" customHeight="1">
      <c r="A74" s="62" t="s">
        <v>229</v>
      </c>
      <c r="B74" s="62" t="s">
        <v>230</v>
      </c>
      <c r="C74" s="76"/>
      <c r="D74" s="76" t="str">
        <f>'Raw material'!CK74</f>
        <v>0</v>
      </c>
      <c r="E74" s="76" t="str">
        <f t="shared" si="3"/>
        <v>0</v>
      </c>
      <c r="F74" s="13"/>
      <c r="G74" s="13"/>
      <c r="H74" s="24" t="s">
        <v>72</v>
      </c>
      <c r="I74" s="88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13"/>
      <c r="AB74" s="13"/>
      <c r="AD74" s="13"/>
      <c r="AE74" s="13"/>
      <c r="AF74" s="73"/>
      <c r="AG74" s="73"/>
    </row>
    <row r="75" ht="14.25" customHeight="1">
      <c r="A75" s="51" t="s">
        <v>231</v>
      </c>
      <c r="B75" s="51" t="s">
        <v>232</v>
      </c>
      <c r="C75" s="32">
        <v>12.65</v>
      </c>
      <c r="D75" s="32" t="str">
        <f>'Raw material'!CK75</f>
        <v>2</v>
      </c>
      <c r="E75" s="32" t="str">
        <f t="shared" si="3"/>
        <v>10.65</v>
      </c>
      <c r="F75" s="13"/>
      <c r="G75" s="13"/>
      <c r="H75" s="24" t="s">
        <v>73</v>
      </c>
      <c r="I75" s="24">
        <v>2.0</v>
      </c>
      <c r="J75" s="75"/>
      <c r="K75" s="81">
        <v>80.0</v>
      </c>
      <c r="L75" s="75"/>
      <c r="M75" s="75"/>
      <c r="N75" s="75"/>
      <c r="O75" s="81">
        <v>60.0</v>
      </c>
      <c r="P75" s="75"/>
      <c r="Q75" s="81">
        <v>100.0</v>
      </c>
      <c r="R75" s="75"/>
      <c r="S75" s="75"/>
      <c r="T75" s="75"/>
      <c r="U75" s="75"/>
      <c r="V75" s="75"/>
      <c r="W75" s="75"/>
      <c r="X75" s="75"/>
      <c r="Y75" s="75"/>
      <c r="Z75" s="75"/>
      <c r="AA75" s="13"/>
      <c r="AB75" s="13"/>
      <c r="AD75" s="13"/>
      <c r="AE75" s="13"/>
      <c r="AF75" s="73"/>
      <c r="AG75" s="73"/>
    </row>
    <row r="76" ht="14.25" customHeight="1">
      <c r="A76" s="62" t="s">
        <v>233</v>
      </c>
      <c r="B76" s="62" t="s">
        <v>234</v>
      </c>
      <c r="C76" s="76">
        <v>104.3</v>
      </c>
      <c r="D76" s="76" t="str">
        <f>'Raw material'!CK76</f>
        <v>24</v>
      </c>
      <c r="E76" s="76" t="str">
        <f t="shared" si="3"/>
        <v>80.3</v>
      </c>
      <c r="F76" s="13"/>
      <c r="G76" s="13"/>
      <c r="H76" s="26" t="s">
        <v>74</v>
      </c>
      <c r="I76" s="90">
        <v>0.5</v>
      </c>
      <c r="J76" s="75"/>
      <c r="K76" s="75"/>
      <c r="L76" s="75"/>
      <c r="M76" s="75"/>
      <c r="N76" s="13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13"/>
      <c r="AB76" s="13"/>
      <c r="AD76" s="13"/>
      <c r="AE76" s="13"/>
      <c r="AF76" s="73"/>
      <c r="AG76" s="73"/>
    </row>
    <row r="77" ht="14.25" customHeight="1">
      <c r="A77" s="51" t="s">
        <v>235</v>
      </c>
      <c r="B77" s="51" t="s">
        <v>236</v>
      </c>
      <c r="C77" s="32">
        <v>101.25</v>
      </c>
      <c r="D77" s="32" t="str">
        <f>'Raw material'!CK77</f>
        <v>120</v>
      </c>
      <c r="E77" s="32" t="str">
        <f t="shared" si="3"/>
        <v>-18.75</v>
      </c>
      <c r="F77" s="13"/>
      <c r="G77" s="13"/>
      <c r="H77" s="26" t="s">
        <v>75</v>
      </c>
      <c r="I77" s="90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13"/>
      <c r="AB77" s="13"/>
      <c r="AD77" s="13"/>
      <c r="AE77" s="13"/>
      <c r="AF77" s="73"/>
      <c r="AG77" s="73"/>
    </row>
    <row r="78" ht="14.25" customHeight="1">
      <c r="A78" s="62" t="s">
        <v>237</v>
      </c>
      <c r="B78" s="62" t="s">
        <v>238</v>
      </c>
      <c r="C78" s="76"/>
      <c r="D78" s="76" t="str">
        <f>'Raw material'!CK78</f>
        <v>0</v>
      </c>
      <c r="E78" s="76" t="str">
        <f t="shared" si="3"/>
        <v>0</v>
      </c>
      <c r="F78" s="13"/>
      <c r="G78" s="13"/>
      <c r="H78" s="27" t="s">
        <v>76</v>
      </c>
      <c r="I78" s="90">
        <v>1.0</v>
      </c>
      <c r="J78" s="75"/>
      <c r="K78" s="75">
        <v>60.0</v>
      </c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13"/>
      <c r="AB78" s="13"/>
      <c r="AD78" s="13"/>
      <c r="AE78" s="73"/>
      <c r="AF78" s="73"/>
      <c r="AG78" s="73"/>
    </row>
    <row r="79" ht="14.25" customHeight="1">
      <c r="A79" s="51" t="s">
        <v>239</v>
      </c>
      <c r="B79" s="51" t="s">
        <v>240</v>
      </c>
      <c r="C79" s="32">
        <v>32.0</v>
      </c>
      <c r="D79" s="32" t="str">
        <f>'Raw material'!CK79</f>
        <v>5</v>
      </c>
      <c r="E79" s="32" t="str">
        <f t="shared" si="3"/>
        <v>27</v>
      </c>
      <c r="F79" s="13"/>
      <c r="G79" s="13"/>
      <c r="H79" s="27" t="s">
        <v>77</v>
      </c>
      <c r="I79" s="90">
        <v>1.0</v>
      </c>
      <c r="J79" s="75"/>
      <c r="K79" s="75"/>
      <c r="L79" s="75"/>
      <c r="M79" s="75"/>
      <c r="N79" s="75"/>
      <c r="O79" s="75"/>
      <c r="P79" s="75"/>
      <c r="Q79" s="75">
        <v>100.0</v>
      </c>
      <c r="R79" s="75"/>
      <c r="S79" s="75">
        <v>80.0</v>
      </c>
      <c r="T79" s="75"/>
      <c r="U79" s="75"/>
      <c r="V79" s="75"/>
      <c r="W79" s="75"/>
      <c r="X79" s="75"/>
      <c r="Y79" s="75"/>
      <c r="Z79" s="75"/>
      <c r="AA79" s="13"/>
      <c r="AB79" s="13"/>
      <c r="AD79" s="13"/>
      <c r="AF79" s="73"/>
      <c r="AG79" s="73"/>
    </row>
    <row r="80" ht="14.25" customHeight="1">
      <c r="A80" s="62" t="s">
        <v>241</v>
      </c>
      <c r="B80" s="62" t="s">
        <v>242</v>
      </c>
      <c r="C80" s="76"/>
      <c r="D80" s="76" t="str">
        <f>'Raw material'!CK80</f>
        <v>0</v>
      </c>
      <c r="E80" s="76" t="str">
        <f t="shared" si="3"/>
        <v>0</v>
      </c>
      <c r="F80" s="13"/>
      <c r="G80" s="13"/>
      <c r="H80" s="26" t="s">
        <v>78</v>
      </c>
      <c r="I80" s="90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13"/>
      <c r="AB80" s="13"/>
      <c r="AD80" s="13"/>
      <c r="AE80" s="13"/>
      <c r="AF80" s="73"/>
      <c r="AG80" s="73"/>
    </row>
    <row r="81" ht="14.25" customHeight="1">
      <c r="A81" s="51" t="s">
        <v>243</v>
      </c>
      <c r="B81" s="51" t="s">
        <v>244</v>
      </c>
      <c r="C81" s="32"/>
      <c r="D81" s="32" t="str">
        <f>'Raw material'!CK81</f>
        <v>0</v>
      </c>
      <c r="E81" s="32" t="str">
        <f t="shared" si="3"/>
        <v>0</v>
      </c>
      <c r="F81" s="13"/>
      <c r="G81" s="13"/>
      <c r="H81" s="26" t="s">
        <v>79</v>
      </c>
      <c r="I81" s="90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13"/>
      <c r="AB81" s="13"/>
      <c r="AD81" s="13"/>
      <c r="AE81" s="13"/>
      <c r="AF81" s="73"/>
      <c r="AG81" s="73"/>
    </row>
    <row r="82" ht="14.25" customHeight="1">
      <c r="A82" s="62" t="s">
        <v>245</v>
      </c>
      <c r="B82" s="62" t="s">
        <v>246</v>
      </c>
      <c r="C82" s="76"/>
      <c r="D82" s="76" t="str">
        <f>'Raw material'!CK82</f>
        <v>0</v>
      </c>
      <c r="E82" s="76" t="str">
        <f t="shared" si="3"/>
        <v>0</v>
      </c>
      <c r="F82" s="13"/>
      <c r="G82" s="13"/>
      <c r="H82" s="26" t="s">
        <v>80</v>
      </c>
      <c r="I82" s="26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13"/>
      <c r="AB82" s="13"/>
      <c r="AD82" s="13"/>
      <c r="AE82" s="13"/>
      <c r="AF82" s="73"/>
      <c r="AG82" s="73"/>
    </row>
    <row r="83" ht="14.25" customHeight="1">
      <c r="A83" s="51" t="s">
        <v>247</v>
      </c>
      <c r="B83" s="51" t="s">
        <v>248</v>
      </c>
      <c r="C83" s="32">
        <v>15.0</v>
      </c>
      <c r="D83" s="32" t="str">
        <f>'Raw material'!CK83</f>
        <v>20</v>
      </c>
      <c r="E83" s="32" t="str">
        <f t="shared" si="3"/>
        <v>-5</v>
      </c>
      <c r="F83" s="13"/>
      <c r="G83" s="13"/>
      <c r="H83" s="26" t="s">
        <v>81</v>
      </c>
      <c r="I83" s="26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13"/>
      <c r="AB83" s="13"/>
      <c r="AD83" s="13"/>
      <c r="AE83" s="13"/>
      <c r="AF83" s="73"/>
      <c r="AG83" s="73"/>
    </row>
    <row r="84" ht="14.25" customHeight="1">
      <c r="A84" s="62" t="s">
        <v>249</v>
      </c>
      <c r="B84" s="62" t="s">
        <v>250</v>
      </c>
      <c r="C84" s="76">
        <v>301.0</v>
      </c>
      <c r="D84" s="76" t="str">
        <f>'Raw material'!CK84</f>
        <v>50</v>
      </c>
      <c r="E84" s="76" t="str">
        <f t="shared" si="3"/>
        <v>251</v>
      </c>
      <c r="F84" s="13"/>
      <c r="G84" s="13"/>
      <c r="H84" s="28" t="s">
        <v>82</v>
      </c>
      <c r="I84" s="28">
        <v>1.0</v>
      </c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13"/>
      <c r="AB84" s="13"/>
      <c r="AD84" s="13"/>
      <c r="AE84" s="13"/>
      <c r="AF84" s="73"/>
      <c r="AG84" s="73"/>
    </row>
    <row r="85" ht="14.25" customHeight="1">
      <c r="A85" s="51" t="s">
        <v>251</v>
      </c>
      <c r="B85" s="51" t="s">
        <v>252</v>
      </c>
      <c r="C85" s="32"/>
      <c r="D85" s="32" t="str">
        <f>'Raw material'!CK85</f>
        <v>0</v>
      </c>
      <c r="E85" s="32" t="str">
        <f t="shared" si="3"/>
        <v>0</v>
      </c>
      <c r="F85" s="13"/>
      <c r="G85" s="13"/>
      <c r="H85" s="28" t="s">
        <v>83</v>
      </c>
      <c r="I85" s="28">
        <v>3.0</v>
      </c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13"/>
      <c r="W85" s="75"/>
      <c r="X85" s="75"/>
      <c r="Y85" s="75"/>
      <c r="Z85" s="75"/>
      <c r="AD85" s="13"/>
      <c r="AE85" s="13"/>
      <c r="AF85" s="73"/>
      <c r="AG85" s="73"/>
    </row>
    <row r="86" ht="14.25" customHeight="1">
      <c r="A86" s="62" t="s">
        <v>253</v>
      </c>
      <c r="B86" s="62" t="s">
        <v>254</v>
      </c>
      <c r="C86" s="76">
        <v>85.0</v>
      </c>
      <c r="D86" s="76" t="str">
        <f>'Raw material'!CK86</f>
        <v>10</v>
      </c>
      <c r="E86" s="76" t="str">
        <f t="shared" si="3"/>
        <v>75</v>
      </c>
      <c r="F86" s="13"/>
      <c r="G86" s="13"/>
      <c r="H86" s="28" t="s">
        <v>84</v>
      </c>
      <c r="I86" s="28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D86" s="13"/>
      <c r="AE86" s="13"/>
      <c r="AF86" s="13"/>
      <c r="AG86" s="13"/>
    </row>
    <row r="87" ht="14.25" customHeight="1">
      <c r="A87" s="51" t="s">
        <v>255</v>
      </c>
      <c r="B87" s="51" t="s">
        <v>256</v>
      </c>
      <c r="C87" s="32">
        <v>104.0</v>
      </c>
      <c r="D87" s="32" t="str">
        <f>'Raw material'!CK87</f>
        <v>20</v>
      </c>
      <c r="E87" s="32" t="str">
        <f t="shared" si="3"/>
        <v>84</v>
      </c>
      <c r="F87" s="13"/>
      <c r="G87" s="13"/>
      <c r="H87" s="73" t="s">
        <v>423</v>
      </c>
      <c r="I87" s="73"/>
      <c r="J87" s="73">
        <v>138.0</v>
      </c>
      <c r="K87" s="73">
        <v>135.0</v>
      </c>
      <c r="L87" s="73">
        <v>0.0</v>
      </c>
      <c r="M87" s="73">
        <v>50.0</v>
      </c>
      <c r="N87" s="73">
        <v>26.5</v>
      </c>
      <c r="O87" s="73">
        <v>101.0</v>
      </c>
      <c r="P87" s="73">
        <v>15.0</v>
      </c>
      <c r="Q87" s="73">
        <v>1811.0</v>
      </c>
      <c r="R87" s="73">
        <v>3605.0</v>
      </c>
      <c r="S87" s="73">
        <v>77.0</v>
      </c>
      <c r="T87" s="73">
        <v>263.0</v>
      </c>
      <c r="U87" s="73">
        <v>2.0</v>
      </c>
      <c r="V87" s="73">
        <v>0.0</v>
      </c>
      <c r="W87" s="32"/>
      <c r="X87" s="73"/>
      <c r="Y87" s="73"/>
      <c r="Z87" s="73"/>
    </row>
    <row r="88" ht="14.25" customHeight="1">
      <c r="A88" s="62" t="s">
        <v>257</v>
      </c>
      <c r="B88" s="62" t="s">
        <v>258</v>
      </c>
      <c r="C88" s="76"/>
      <c r="D88" s="76" t="str">
        <f>'Raw material'!CK88</f>
        <v>0</v>
      </c>
      <c r="E88" s="76" t="str">
        <f t="shared" si="3"/>
        <v>0</v>
      </c>
      <c r="F88" s="13"/>
      <c r="G88" s="13"/>
      <c r="H88" s="73" t="s">
        <v>424</v>
      </c>
      <c r="I88" s="73"/>
      <c r="J88" s="91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51" t="s">
        <v>259</v>
      </c>
      <c r="B89" s="51" t="s">
        <v>260</v>
      </c>
      <c r="C89" s="32">
        <v>14.0</v>
      </c>
      <c r="D89" s="32" t="str">
        <f>'Raw material'!CK89</f>
        <v>3</v>
      </c>
      <c r="E89" s="32" t="str">
        <f t="shared" si="3"/>
        <v>11</v>
      </c>
      <c r="F89" s="13"/>
      <c r="G89" s="13"/>
      <c r="H89" s="73" t="s">
        <v>425</v>
      </c>
      <c r="I89" s="73"/>
      <c r="J89" s="72" t="str">
        <f t="shared" ref="J89:Z89" si="5">J87-J90</f>
        <v>-2</v>
      </c>
      <c r="K89" s="72" t="str">
        <f t="shared" si="5"/>
        <v>-5</v>
      </c>
      <c r="L89" s="72" t="str">
        <f t="shared" si="5"/>
        <v>0</v>
      </c>
      <c r="M89" s="72" t="str">
        <f t="shared" si="5"/>
        <v>50</v>
      </c>
      <c r="N89" s="72" t="str">
        <f t="shared" si="5"/>
        <v>12.5</v>
      </c>
      <c r="O89" s="72" t="str">
        <f t="shared" si="5"/>
        <v>41</v>
      </c>
      <c r="P89" s="72" t="str">
        <f t="shared" si="5"/>
        <v>15</v>
      </c>
      <c r="Q89" s="72" t="str">
        <f t="shared" si="5"/>
        <v>43</v>
      </c>
      <c r="R89" s="72" t="str">
        <f t="shared" si="5"/>
        <v>805</v>
      </c>
      <c r="S89" s="72" t="str">
        <f t="shared" si="5"/>
        <v>-3</v>
      </c>
      <c r="T89" s="72" t="str">
        <f t="shared" si="5"/>
        <v>131</v>
      </c>
      <c r="U89" s="72" t="str">
        <f t="shared" si="5"/>
        <v>0</v>
      </c>
      <c r="V89" s="72" t="str">
        <f t="shared" si="5"/>
        <v>0</v>
      </c>
      <c r="W89" s="72" t="str">
        <f t="shared" si="5"/>
        <v>0</v>
      </c>
      <c r="X89" s="72" t="str">
        <f t="shared" si="5"/>
        <v>0</v>
      </c>
      <c r="Y89" s="72" t="str">
        <f t="shared" si="5"/>
        <v>0</v>
      </c>
      <c r="Z89" s="72" t="str">
        <f t="shared" si="5"/>
        <v>0</v>
      </c>
    </row>
    <row r="90" ht="14.25" customHeight="1">
      <c r="A90" s="62" t="s">
        <v>261</v>
      </c>
      <c r="B90" s="62" t="s">
        <v>262</v>
      </c>
      <c r="C90" s="76"/>
      <c r="D90" s="76" t="str">
        <f>'Raw material'!CK90</f>
        <v>0</v>
      </c>
      <c r="E90" s="76" t="str">
        <f t="shared" si="3"/>
        <v>0</v>
      </c>
      <c r="F90" s="13"/>
      <c r="G90" s="13"/>
      <c r="H90" s="73"/>
      <c r="I90" s="73"/>
      <c r="J90" s="73" t="str">
        <f t="shared" ref="J90:Z90" si="6">SUM(J2:J86)</f>
        <v>140</v>
      </c>
      <c r="K90" s="73" t="str">
        <f t="shared" si="6"/>
        <v>140</v>
      </c>
      <c r="L90" s="73" t="str">
        <f t="shared" si="6"/>
        <v>0</v>
      </c>
      <c r="M90" s="73" t="str">
        <f t="shared" si="6"/>
        <v>0</v>
      </c>
      <c r="N90" s="73" t="str">
        <f t="shared" si="6"/>
        <v>14</v>
      </c>
      <c r="O90" s="73" t="str">
        <f t="shared" si="6"/>
        <v>60</v>
      </c>
      <c r="P90" s="73" t="str">
        <f t="shared" si="6"/>
        <v>0</v>
      </c>
      <c r="Q90" s="73" t="str">
        <f t="shared" si="6"/>
        <v>1768</v>
      </c>
      <c r="R90" s="73" t="str">
        <f t="shared" si="6"/>
        <v>2800</v>
      </c>
      <c r="S90" s="73" t="str">
        <f t="shared" si="6"/>
        <v>80</v>
      </c>
      <c r="T90" s="73" t="str">
        <f t="shared" si="6"/>
        <v>132</v>
      </c>
      <c r="U90" s="73" t="str">
        <f t="shared" si="6"/>
        <v>2</v>
      </c>
      <c r="V90" s="73" t="str">
        <f t="shared" si="6"/>
        <v>0</v>
      </c>
      <c r="W90" s="73" t="str">
        <f t="shared" si="6"/>
        <v>0</v>
      </c>
      <c r="X90" s="73" t="str">
        <f t="shared" si="6"/>
        <v>0</v>
      </c>
      <c r="Y90" s="73" t="str">
        <f t="shared" si="6"/>
        <v>0</v>
      </c>
      <c r="Z90" s="73" t="str">
        <f t="shared" si="6"/>
        <v>0</v>
      </c>
    </row>
    <row r="91" ht="14.25" customHeight="1">
      <c r="A91" s="51" t="s">
        <v>263</v>
      </c>
      <c r="B91" s="51" t="s">
        <v>264</v>
      </c>
      <c r="C91" s="32">
        <v>77.4</v>
      </c>
      <c r="D91" s="32" t="str">
        <f>'Raw material'!CK91</f>
        <v>4</v>
      </c>
      <c r="E91" s="32" t="str">
        <f t="shared" si="3"/>
        <v>73.4</v>
      </c>
      <c r="F91" s="13"/>
      <c r="G91" s="13"/>
    </row>
    <row r="92" ht="14.25" customHeight="1">
      <c r="A92" s="62" t="s">
        <v>265</v>
      </c>
      <c r="B92" s="62" t="s">
        <v>266</v>
      </c>
      <c r="C92" s="76"/>
      <c r="D92" s="76" t="str">
        <f>'Raw material'!CK92</f>
        <v>0</v>
      </c>
      <c r="E92" s="76" t="str">
        <f t="shared" si="3"/>
        <v>0</v>
      </c>
      <c r="F92" s="13"/>
      <c r="G92" s="13"/>
    </row>
    <row r="93" ht="14.25" customHeight="1">
      <c r="A93" s="51" t="s">
        <v>267</v>
      </c>
      <c r="B93" s="51" t="s">
        <v>268</v>
      </c>
      <c r="C93" s="32"/>
      <c r="D93" s="32" t="str">
        <f>'Raw material'!CK93</f>
        <v>0</v>
      </c>
      <c r="E93" s="32" t="str">
        <f t="shared" si="3"/>
        <v>0</v>
      </c>
      <c r="F93" s="13"/>
      <c r="G93" s="13"/>
    </row>
    <row r="94" ht="14.25" customHeight="1">
      <c r="A94" s="62" t="s">
        <v>269</v>
      </c>
      <c r="B94" s="62" t="s">
        <v>270</v>
      </c>
      <c r="C94" s="76"/>
      <c r="D94" s="76" t="str">
        <f>'Raw material'!CK94</f>
        <v>0</v>
      </c>
      <c r="E94" s="76" t="str">
        <f t="shared" si="3"/>
        <v>0</v>
      </c>
      <c r="F94" s="13"/>
      <c r="G94" s="13"/>
    </row>
    <row r="95" ht="14.25" customHeight="1">
      <c r="A95" s="51" t="s">
        <v>271</v>
      </c>
      <c r="B95" s="51" t="s">
        <v>272</v>
      </c>
      <c r="C95" s="32">
        <v>27.86</v>
      </c>
      <c r="D95" s="32" t="str">
        <f>'Raw material'!CK95</f>
        <v>21.1</v>
      </c>
      <c r="E95" s="32" t="str">
        <f t="shared" si="3"/>
        <v>6.76</v>
      </c>
      <c r="F95" s="13"/>
      <c r="G95" s="13"/>
    </row>
    <row r="96" ht="14.25" customHeight="1">
      <c r="A96" s="62" t="s">
        <v>273</v>
      </c>
      <c r="B96" s="62" t="s">
        <v>274</v>
      </c>
      <c r="C96" s="76"/>
      <c r="D96" s="76" t="str">
        <f>'Raw material'!CK96</f>
        <v>0</v>
      </c>
      <c r="E96" s="76" t="str">
        <f t="shared" si="3"/>
        <v>0</v>
      </c>
      <c r="F96" s="13"/>
      <c r="G96" s="13"/>
    </row>
    <row r="97" ht="14.25" customHeight="1">
      <c r="A97" s="51" t="s">
        <v>275</v>
      </c>
      <c r="B97" s="51" t="s">
        <v>276</v>
      </c>
      <c r="C97" s="32"/>
      <c r="D97" s="32" t="str">
        <f>'Raw material'!CK97</f>
        <v>0</v>
      </c>
      <c r="E97" s="32" t="str">
        <f t="shared" si="3"/>
        <v>0</v>
      </c>
      <c r="F97" s="13"/>
      <c r="G97" s="13"/>
    </row>
    <row r="98" ht="14.25" customHeight="1">
      <c r="A98" s="62" t="s">
        <v>277</v>
      </c>
      <c r="B98" s="62" t="s">
        <v>278</v>
      </c>
      <c r="C98" s="76"/>
      <c r="D98" s="76" t="str">
        <f>'Raw material'!CK98</f>
        <v>0</v>
      </c>
      <c r="E98" s="76" t="str">
        <f t="shared" si="3"/>
        <v>0</v>
      </c>
      <c r="F98" s="13"/>
      <c r="G98" s="13"/>
    </row>
    <row r="99" ht="14.25" customHeight="1">
      <c r="A99" s="51" t="s">
        <v>279</v>
      </c>
      <c r="B99" s="51" t="s">
        <v>280</v>
      </c>
      <c r="C99" s="32"/>
      <c r="D99" s="32" t="str">
        <f>'Raw material'!CK99</f>
        <v>0</v>
      </c>
      <c r="E99" s="32" t="str">
        <f t="shared" si="3"/>
        <v>0</v>
      </c>
      <c r="F99" s="13"/>
      <c r="G99" s="13"/>
    </row>
    <row r="100" ht="14.25" customHeight="1">
      <c r="A100" s="62" t="s">
        <v>281</v>
      </c>
      <c r="B100" s="62" t="s">
        <v>282</v>
      </c>
      <c r="C100" s="76"/>
      <c r="D100" s="76" t="str">
        <f>'Raw material'!CK100</f>
        <v>0</v>
      </c>
      <c r="E100" s="76" t="str">
        <f t="shared" si="3"/>
        <v>0</v>
      </c>
      <c r="F100" s="13"/>
      <c r="G100" s="13"/>
    </row>
    <row r="101" ht="14.25" customHeight="1">
      <c r="A101" s="51" t="s">
        <v>283</v>
      </c>
      <c r="B101" s="51" t="s">
        <v>284</v>
      </c>
      <c r="C101" s="32">
        <v>8.0</v>
      </c>
      <c r="D101" s="32" t="str">
        <f>'Raw material'!CK101</f>
        <v>2</v>
      </c>
      <c r="E101" s="32" t="str">
        <f t="shared" si="3"/>
        <v>6</v>
      </c>
      <c r="F101" s="13"/>
      <c r="G101" s="13"/>
    </row>
    <row r="102" ht="14.25" customHeight="1">
      <c r="A102" s="62" t="s">
        <v>285</v>
      </c>
      <c r="B102" s="62" t="s">
        <v>286</v>
      </c>
      <c r="C102" s="76"/>
      <c r="D102" s="76" t="str">
        <f>'Raw material'!CK102</f>
        <v>0</v>
      </c>
      <c r="E102" s="76" t="str">
        <f t="shared" si="3"/>
        <v>0</v>
      </c>
      <c r="F102" s="13"/>
      <c r="G102" s="13"/>
    </row>
    <row r="103" ht="14.25" customHeight="1">
      <c r="A103" s="51" t="s">
        <v>287</v>
      </c>
      <c r="B103" s="51" t="s">
        <v>288</v>
      </c>
      <c r="C103" s="32">
        <v>815.0</v>
      </c>
      <c r="D103" s="32" t="str">
        <f>'Raw material'!CK103</f>
        <v>75.2</v>
      </c>
      <c r="E103" s="32" t="str">
        <f t="shared" si="3"/>
        <v>739.8</v>
      </c>
      <c r="F103" s="13"/>
      <c r="G103" s="13"/>
    </row>
    <row r="104" ht="14.25" customHeight="1">
      <c r="A104" s="62" t="s">
        <v>289</v>
      </c>
      <c r="B104" s="62" t="s">
        <v>290</v>
      </c>
      <c r="C104" s="76">
        <v>16.62</v>
      </c>
      <c r="D104" s="76" t="str">
        <f>'Raw material'!CK104</f>
        <v>7.8</v>
      </c>
      <c r="E104" s="76" t="str">
        <f t="shared" si="3"/>
        <v>8.82</v>
      </c>
      <c r="F104" s="13"/>
      <c r="G104" s="13"/>
    </row>
    <row r="105" ht="14.25" customHeight="1">
      <c r="A105" s="51" t="s">
        <v>291</v>
      </c>
      <c r="B105" s="51" t="s">
        <v>292</v>
      </c>
      <c r="C105" s="32">
        <v>200.0</v>
      </c>
      <c r="D105" s="32" t="str">
        <f>'Raw material'!CK105</f>
        <v>8</v>
      </c>
      <c r="E105" s="32" t="str">
        <f t="shared" si="3"/>
        <v>192</v>
      </c>
      <c r="F105" s="13"/>
      <c r="G105" s="13"/>
    </row>
    <row r="106" ht="14.25" customHeight="1">
      <c r="A106" s="62" t="s">
        <v>293</v>
      </c>
      <c r="B106" s="62" t="s">
        <v>294</v>
      </c>
      <c r="C106" s="76"/>
      <c r="D106" s="76" t="str">
        <f>'Raw material'!CK106</f>
        <v>0</v>
      </c>
      <c r="E106" s="76" t="str">
        <f t="shared" si="3"/>
        <v>0</v>
      </c>
      <c r="F106" s="13"/>
      <c r="G106" s="13"/>
    </row>
    <row r="107" ht="14.25" customHeight="1">
      <c r="A107" s="51" t="s">
        <v>295</v>
      </c>
      <c r="B107" s="51" t="s">
        <v>296</v>
      </c>
      <c r="C107" s="32">
        <v>3848.0</v>
      </c>
      <c r="D107" s="32" t="str">
        <f>'Raw material'!CK107</f>
        <v>1232</v>
      </c>
      <c r="E107" s="32" t="str">
        <f t="shared" si="3"/>
        <v>2616</v>
      </c>
      <c r="F107" s="13"/>
      <c r="G107" s="13"/>
    </row>
    <row r="108" ht="14.25" customHeight="1">
      <c r="A108" s="62" t="s">
        <v>297</v>
      </c>
      <c r="B108" s="62" t="s">
        <v>298</v>
      </c>
      <c r="C108" s="76">
        <v>87.8</v>
      </c>
      <c r="D108" s="76" t="str">
        <f>'Raw material'!CK108</f>
        <v>9.2</v>
      </c>
      <c r="E108" s="76" t="str">
        <f t="shared" si="3"/>
        <v>78.6</v>
      </c>
      <c r="F108" s="13"/>
      <c r="G108" s="13"/>
    </row>
    <row r="109" ht="14.25" customHeight="1">
      <c r="A109" s="51" t="s">
        <v>299</v>
      </c>
      <c r="B109" s="51" t="s">
        <v>300</v>
      </c>
      <c r="C109" s="32">
        <v>1575.0</v>
      </c>
      <c r="D109" s="32" t="str">
        <f>'Raw material'!CK109</f>
        <v>700</v>
      </c>
      <c r="E109" s="32" t="str">
        <f t="shared" si="3"/>
        <v>875</v>
      </c>
      <c r="F109" s="13"/>
      <c r="G109" s="13"/>
    </row>
    <row r="110" ht="14.25" customHeight="1">
      <c r="A110" s="62" t="s">
        <v>301</v>
      </c>
      <c r="B110" s="62" t="s">
        <v>302</v>
      </c>
      <c r="C110" s="76"/>
      <c r="D110" s="76" t="str">
        <f>'Raw material'!CK110</f>
        <v>0</v>
      </c>
      <c r="E110" s="76" t="str">
        <f t="shared" si="3"/>
        <v>0</v>
      </c>
      <c r="F110" s="13"/>
      <c r="G110" s="13"/>
    </row>
    <row r="111" ht="14.25" customHeight="1">
      <c r="A111" s="51" t="s">
        <v>303</v>
      </c>
      <c r="B111" s="51" t="s">
        <v>304</v>
      </c>
      <c r="C111" s="32"/>
      <c r="D111" s="32" t="str">
        <f>'Raw material'!CK111</f>
        <v>0</v>
      </c>
      <c r="E111" s="32" t="str">
        <f t="shared" si="3"/>
        <v>0</v>
      </c>
      <c r="F111" s="13"/>
      <c r="G111" s="13"/>
    </row>
    <row r="112" ht="14.25" customHeight="1">
      <c r="A112" s="62" t="s">
        <v>305</v>
      </c>
      <c r="B112" s="62" t="s">
        <v>306</v>
      </c>
      <c r="C112" s="76"/>
      <c r="D112" s="76" t="str">
        <f>'Raw material'!CK112</f>
        <v>0</v>
      </c>
      <c r="E112" s="76" t="str">
        <f t="shared" si="3"/>
        <v>0</v>
      </c>
      <c r="F112" s="13"/>
      <c r="G112" s="13"/>
    </row>
    <row r="113" ht="14.25" customHeight="1">
      <c r="A113" s="51" t="s">
        <v>307</v>
      </c>
      <c r="B113" s="51" t="s">
        <v>308</v>
      </c>
      <c r="C113" s="32">
        <v>1811.0</v>
      </c>
      <c r="D113" s="32" t="str">
        <f>'Raw material'!CK113</f>
        <v>1868</v>
      </c>
      <c r="E113" s="32" t="str">
        <f t="shared" si="3"/>
        <v>-57</v>
      </c>
      <c r="F113" s="13"/>
      <c r="G113" s="13"/>
    </row>
    <row r="114" ht="14.25" customHeight="1">
      <c r="A114" s="62" t="s">
        <v>309</v>
      </c>
      <c r="B114" s="62" t="s">
        <v>310</v>
      </c>
      <c r="C114" s="76"/>
      <c r="D114" s="76" t="str">
        <f>'Raw material'!CK114</f>
        <v>0</v>
      </c>
      <c r="E114" s="76" t="str">
        <f t="shared" si="3"/>
        <v>0</v>
      </c>
      <c r="F114" s="13"/>
      <c r="G114" s="13"/>
    </row>
    <row r="115" ht="14.25" customHeight="1">
      <c r="A115" s="51" t="s">
        <v>311</v>
      </c>
      <c r="B115" s="51" t="s">
        <v>312</v>
      </c>
      <c r="C115" s="32"/>
      <c r="D115" s="32" t="str">
        <f>'Raw material'!CK115</f>
        <v>0</v>
      </c>
      <c r="E115" s="32" t="str">
        <f t="shared" si="3"/>
        <v>0</v>
      </c>
      <c r="F115" s="13"/>
      <c r="G115" s="13"/>
    </row>
    <row r="116" ht="14.25" customHeight="1">
      <c r="A116" s="62" t="s">
        <v>313</v>
      </c>
      <c r="B116" s="62" t="s">
        <v>314</v>
      </c>
      <c r="C116" s="76">
        <v>505.0</v>
      </c>
      <c r="D116" s="76" t="str">
        <f>'Raw material'!CK116</f>
        <v>96</v>
      </c>
      <c r="E116" s="76" t="str">
        <f t="shared" si="3"/>
        <v>409</v>
      </c>
      <c r="F116" s="13"/>
      <c r="G116" s="13"/>
    </row>
    <row r="117" ht="14.25" customHeight="1">
      <c r="A117" s="51" t="s">
        <v>315</v>
      </c>
      <c r="B117" s="51" t="s">
        <v>316</v>
      </c>
      <c r="C117" s="32">
        <v>3605.0</v>
      </c>
      <c r="D117" s="32" t="str">
        <f>'Raw material'!CK117</f>
        <v>4440</v>
      </c>
      <c r="E117" s="32" t="str">
        <f t="shared" si="3"/>
        <v>-835</v>
      </c>
      <c r="F117" s="13"/>
      <c r="G117" s="13"/>
    </row>
    <row r="118" ht="14.25" customHeight="1">
      <c r="A118" s="62" t="s">
        <v>317</v>
      </c>
      <c r="B118" s="62" t="s">
        <v>318</v>
      </c>
      <c r="C118" s="76">
        <v>382.0</v>
      </c>
      <c r="D118" s="76" t="str">
        <f>'Raw material'!CK118</f>
        <v>100</v>
      </c>
      <c r="E118" s="76" t="str">
        <f t="shared" si="3"/>
        <v>282</v>
      </c>
      <c r="F118" s="13"/>
      <c r="G118" s="13"/>
    </row>
    <row r="119" ht="14.25" customHeight="1">
      <c r="A119" s="51" t="s">
        <v>319</v>
      </c>
      <c r="B119" s="51" t="s">
        <v>320</v>
      </c>
      <c r="C119" s="32">
        <v>1714.0</v>
      </c>
      <c r="D119" s="32" t="str">
        <f>'Raw material'!CK119</f>
        <v>17.2</v>
      </c>
      <c r="E119" s="32" t="str">
        <f t="shared" si="3"/>
        <v>1696.8</v>
      </c>
      <c r="F119" s="13"/>
      <c r="G119" s="13"/>
    </row>
    <row r="120" ht="14.25" customHeight="1">
      <c r="A120" s="62" t="s">
        <v>321</v>
      </c>
      <c r="B120" s="62" t="s">
        <v>322</v>
      </c>
      <c r="C120" s="76">
        <v>3176.0</v>
      </c>
      <c r="D120" s="76" t="str">
        <f>'Raw material'!CK120</f>
        <v>2886</v>
      </c>
      <c r="E120" s="76" t="str">
        <f t="shared" si="3"/>
        <v>290</v>
      </c>
      <c r="F120" s="13"/>
      <c r="G120" s="13"/>
    </row>
    <row r="121" ht="14.25" customHeight="1">
      <c r="A121" s="51" t="s">
        <v>323</v>
      </c>
      <c r="B121" s="51" t="s">
        <v>324</v>
      </c>
      <c r="C121" s="32">
        <v>3859.0</v>
      </c>
      <c r="D121" s="32" t="str">
        <f>'Raw material'!CK121</f>
        <v>1962.9</v>
      </c>
      <c r="E121" s="32" t="str">
        <f t="shared" si="3"/>
        <v>1896.1</v>
      </c>
      <c r="F121" s="13"/>
      <c r="G121" s="13"/>
    </row>
    <row r="122" ht="14.25" customHeight="1">
      <c r="A122" s="62" t="s">
        <v>325</v>
      </c>
      <c r="B122" s="62" t="s">
        <v>326</v>
      </c>
      <c r="C122" s="76"/>
      <c r="D122" s="76" t="str">
        <f>'Raw material'!CK122</f>
        <v>0</v>
      </c>
      <c r="E122" s="76" t="str">
        <f t="shared" si="3"/>
        <v>0</v>
      </c>
      <c r="F122" s="13"/>
      <c r="G122" s="13"/>
    </row>
    <row r="123" ht="14.25" customHeight="1">
      <c r="A123" s="51" t="s">
        <v>327</v>
      </c>
      <c r="B123" s="51" t="s">
        <v>328</v>
      </c>
      <c r="C123" s="32"/>
      <c r="D123" s="32" t="str">
        <f>'Raw material'!CK123</f>
        <v>0</v>
      </c>
      <c r="E123" s="32" t="str">
        <f t="shared" si="3"/>
        <v>0</v>
      </c>
      <c r="F123" s="13"/>
      <c r="G123" s="13"/>
    </row>
    <row r="124" ht="14.25" customHeight="1">
      <c r="A124" s="62" t="s">
        <v>329</v>
      </c>
      <c r="B124" s="62" t="s">
        <v>330</v>
      </c>
      <c r="C124" s="76">
        <v>479.0</v>
      </c>
      <c r="D124" s="76" t="str">
        <f>'Raw material'!CK124</f>
        <v>150</v>
      </c>
      <c r="E124" s="76" t="str">
        <f t="shared" si="3"/>
        <v>329</v>
      </c>
      <c r="F124" s="13"/>
      <c r="G124" s="13"/>
    </row>
    <row r="125" ht="14.25" customHeight="1">
      <c r="A125" s="51" t="s">
        <v>331</v>
      </c>
      <c r="B125" s="51" t="s">
        <v>332</v>
      </c>
      <c r="C125" s="32">
        <v>1844.0</v>
      </c>
      <c r="D125" s="32" t="str">
        <f>'Raw material'!CK125</f>
        <v>1440</v>
      </c>
      <c r="E125" s="32" t="str">
        <f t="shared" si="3"/>
        <v>404</v>
      </c>
      <c r="F125" s="13"/>
      <c r="G125" s="13"/>
    </row>
    <row r="126" ht="14.25" customHeight="1">
      <c r="A126" s="62" t="s">
        <v>333</v>
      </c>
      <c r="B126" s="62" t="s">
        <v>334</v>
      </c>
      <c r="C126" s="76"/>
      <c r="D126" s="76" t="str">
        <f>'Raw material'!CK126</f>
        <v>0</v>
      </c>
      <c r="E126" s="76" t="str">
        <f t="shared" si="3"/>
        <v>0</v>
      </c>
      <c r="F126" s="13"/>
      <c r="G126" s="13"/>
    </row>
    <row r="127" ht="14.25" customHeight="1">
      <c r="A127" s="51" t="s">
        <v>335</v>
      </c>
      <c r="B127" s="51" t="s">
        <v>336</v>
      </c>
      <c r="C127" s="32">
        <v>149.0</v>
      </c>
      <c r="D127" s="32" t="str">
        <f>'Raw material'!CK127</f>
        <v>52</v>
      </c>
      <c r="E127" s="32" t="str">
        <f t="shared" si="3"/>
        <v>97</v>
      </c>
      <c r="F127" s="13"/>
      <c r="G127" s="13"/>
    </row>
    <row r="128" ht="14.25" customHeight="1">
      <c r="A128" s="62" t="s">
        <v>337</v>
      </c>
      <c r="B128" s="62" t="s">
        <v>338</v>
      </c>
      <c r="C128" s="76">
        <v>444.0</v>
      </c>
      <c r="D128" s="76" t="str">
        <f>'Raw material'!CK128</f>
        <v>150</v>
      </c>
      <c r="E128" s="76" t="str">
        <f t="shared" si="3"/>
        <v>294</v>
      </c>
      <c r="F128" s="13"/>
      <c r="G128" s="13"/>
    </row>
    <row r="129" ht="14.25" customHeight="1">
      <c r="A129" s="51" t="s">
        <v>339</v>
      </c>
      <c r="B129" s="51" t="s">
        <v>340</v>
      </c>
      <c r="C129" s="32">
        <v>38.0</v>
      </c>
      <c r="D129" s="32" t="str">
        <f>'Raw material'!CK129</f>
        <v>13.9</v>
      </c>
      <c r="E129" s="32" t="str">
        <f t="shared" si="3"/>
        <v>24.1</v>
      </c>
      <c r="F129" s="13"/>
      <c r="G129" s="13"/>
    </row>
    <row r="130" ht="14.25" customHeight="1">
      <c r="A130" s="62" t="s">
        <v>341</v>
      </c>
      <c r="B130" s="62" t="s">
        <v>342</v>
      </c>
      <c r="C130" s="76"/>
      <c r="D130" s="76" t="str">
        <f>'Raw material'!CK130</f>
        <v>0</v>
      </c>
      <c r="E130" s="76" t="str">
        <f t="shared" si="3"/>
        <v>0</v>
      </c>
      <c r="F130" s="13"/>
      <c r="G130" s="13"/>
    </row>
    <row r="131" ht="14.25" customHeight="1">
      <c r="A131" s="51" t="s">
        <v>343</v>
      </c>
      <c r="B131" s="51" t="s">
        <v>344</v>
      </c>
      <c r="C131" s="32">
        <v>77.0</v>
      </c>
      <c r="D131" s="32" t="str">
        <f>'Raw material'!CK131</f>
        <v>80</v>
      </c>
      <c r="E131" s="32" t="str">
        <f t="shared" si="3"/>
        <v>-3</v>
      </c>
      <c r="F131" s="13"/>
      <c r="G131" s="13"/>
    </row>
    <row r="132" ht="14.25" customHeight="1">
      <c r="A132" s="62" t="s">
        <v>345</v>
      </c>
      <c r="B132" s="62" t="s">
        <v>346</v>
      </c>
      <c r="C132" s="76">
        <v>50.0</v>
      </c>
      <c r="D132" s="76" t="str">
        <f>'Raw material'!CK132</f>
        <v>0</v>
      </c>
      <c r="E132" s="76" t="str">
        <f t="shared" si="3"/>
        <v>50</v>
      </c>
      <c r="F132" s="13"/>
      <c r="G132" s="13"/>
    </row>
    <row r="133" ht="14.25" customHeight="1">
      <c r="A133" s="51" t="s">
        <v>347</v>
      </c>
      <c r="B133" s="51" t="s">
        <v>348</v>
      </c>
      <c r="C133" s="32">
        <v>33.0</v>
      </c>
      <c r="D133" s="32" t="str">
        <f>'Raw material'!CK133</f>
        <v>90</v>
      </c>
      <c r="E133" s="32" t="str">
        <f t="shared" si="3"/>
        <v>-57</v>
      </c>
      <c r="F133" s="13"/>
      <c r="G133" s="13"/>
    </row>
    <row r="134" ht="14.25" customHeight="1">
      <c r="A134" s="62" t="s">
        <v>349</v>
      </c>
      <c r="B134" s="62" t="s">
        <v>426</v>
      </c>
      <c r="C134" s="76">
        <v>4363.0</v>
      </c>
      <c r="D134" s="76" t="str">
        <f>'Raw material'!CK134</f>
        <v>1200</v>
      </c>
      <c r="E134" s="76" t="str">
        <f t="shared" si="3"/>
        <v>3163</v>
      </c>
      <c r="F134" s="13"/>
      <c r="G134" s="13"/>
    </row>
    <row r="135" ht="14.25" customHeight="1">
      <c r="A135" s="52" t="s">
        <v>351</v>
      </c>
      <c r="B135" s="52" t="s">
        <v>427</v>
      </c>
      <c r="C135" s="32">
        <v>1441.0</v>
      </c>
      <c r="D135" s="32" t="str">
        <f>'Raw material'!CK135</f>
        <v>822.3</v>
      </c>
      <c r="E135" s="32" t="str">
        <f t="shared" si="3"/>
        <v>618.7</v>
      </c>
      <c r="F135" s="13"/>
      <c r="G135" s="13"/>
    </row>
    <row r="136" ht="14.25" customHeight="1">
      <c r="A136" s="51" t="s">
        <v>353</v>
      </c>
      <c r="B136" s="51" t="s">
        <v>354</v>
      </c>
      <c r="C136" s="32">
        <v>505.0</v>
      </c>
      <c r="D136" s="32" t="str">
        <f>'Raw material'!CK136</f>
        <v>20</v>
      </c>
      <c r="E136" s="32" t="str">
        <f t="shared" si="3"/>
        <v>485</v>
      </c>
      <c r="F136" s="13"/>
      <c r="G136" s="13"/>
    </row>
    <row r="137" ht="14.25" customHeight="1">
      <c r="A137" s="62" t="s">
        <v>355</v>
      </c>
      <c r="B137" s="62" t="s">
        <v>356</v>
      </c>
      <c r="C137" s="76">
        <v>2357.0</v>
      </c>
      <c r="D137" s="76" t="str">
        <f>'Raw material'!CK137</f>
        <v>981.6</v>
      </c>
      <c r="E137" s="76" t="str">
        <f t="shared" si="3"/>
        <v>1375.4</v>
      </c>
      <c r="F137" s="13"/>
      <c r="G137" s="13"/>
    </row>
    <row r="138" ht="14.25" customHeight="1">
      <c r="A138" s="51" t="s">
        <v>357</v>
      </c>
      <c r="B138" s="51" t="s">
        <v>358</v>
      </c>
      <c r="C138" s="32"/>
      <c r="D138" s="32" t="str">
        <f>'Raw material'!CK138</f>
        <v>0</v>
      </c>
      <c r="E138" s="32" t="str">
        <f t="shared" si="3"/>
        <v>0</v>
      </c>
      <c r="F138" s="13"/>
      <c r="G138" s="13"/>
    </row>
    <row r="139" ht="14.25" customHeight="1">
      <c r="A139" s="62" t="s">
        <v>359</v>
      </c>
      <c r="B139" s="62" t="s">
        <v>360</v>
      </c>
      <c r="C139" s="76">
        <v>263.0</v>
      </c>
      <c r="D139" s="76" t="str">
        <f>'Raw material'!CK139</f>
        <v>1121.8</v>
      </c>
      <c r="E139" s="76" t="str">
        <f t="shared" si="3"/>
        <v>-858.8</v>
      </c>
      <c r="F139" s="13"/>
      <c r="G139" s="13"/>
    </row>
    <row r="140" ht="14.25" customHeight="1">
      <c r="A140" s="51" t="s">
        <v>361</v>
      </c>
      <c r="B140" s="51" t="s">
        <v>362</v>
      </c>
      <c r="C140" s="32">
        <v>3279.0</v>
      </c>
      <c r="D140" s="32" t="str">
        <f>'Raw material'!CK140</f>
        <v>701.35</v>
      </c>
      <c r="E140" s="32" t="str">
        <f t="shared" si="3"/>
        <v>2577.65</v>
      </c>
      <c r="F140" s="13"/>
      <c r="G140" s="13"/>
    </row>
    <row r="141" ht="14.25" customHeight="1">
      <c r="A141" s="62" t="s">
        <v>363</v>
      </c>
      <c r="B141" s="62" t="s">
        <v>364</v>
      </c>
      <c r="C141" s="76"/>
      <c r="D141" s="76" t="str">
        <f>'Raw material'!CK141</f>
        <v>0</v>
      </c>
      <c r="E141" s="76" t="str">
        <f t="shared" si="3"/>
        <v>0</v>
      </c>
      <c r="F141" s="13"/>
      <c r="G141" s="13"/>
    </row>
    <row r="142" ht="14.25" customHeight="1">
      <c r="A142" s="51" t="s">
        <v>365</v>
      </c>
      <c r="B142" s="51" t="s">
        <v>366</v>
      </c>
      <c r="C142" s="32">
        <v>546.35</v>
      </c>
      <c r="D142" s="32" t="str">
        <f>'Raw material'!CK142</f>
        <v>243.5</v>
      </c>
      <c r="E142" s="32" t="str">
        <f t="shared" si="3"/>
        <v>302.85</v>
      </c>
      <c r="F142" s="13"/>
      <c r="G142" s="13"/>
    </row>
    <row r="143" ht="14.25" customHeight="1">
      <c r="A143" s="62" t="s">
        <v>367</v>
      </c>
      <c r="B143" s="62" t="s">
        <v>368</v>
      </c>
      <c r="C143" s="76"/>
      <c r="D143" s="76" t="str">
        <f>'Raw material'!CK143</f>
        <v>0</v>
      </c>
      <c r="E143" s="76" t="str">
        <f t="shared" si="3"/>
        <v>0</v>
      </c>
      <c r="F143" s="13"/>
      <c r="G143" s="13"/>
    </row>
    <row r="144" ht="14.25" customHeight="1">
      <c r="A144" s="51" t="s">
        <v>369</v>
      </c>
      <c r="B144" s="51" t="s">
        <v>370</v>
      </c>
      <c r="C144" s="32"/>
      <c r="D144" s="32" t="str">
        <f>'Raw material'!CK144</f>
        <v>0</v>
      </c>
      <c r="E144" s="32" t="str">
        <f t="shared" si="3"/>
        <v>0</v>
      </c>
      <c r="F144" s="13"/>
      <c r="G144" s="13"/>
    </row>
    <row r="145" ht="14.25" customHeight="1">
      <c r="A145" s="62" t="s">
        <v>371</v>
      </c>
      <c r="B145" s="62" t="s">
        <v>372</v>
      </c>
      <c r="C145" s="76">
        <v>4733.0</v>
      </c>
      <c r="D145" s="76" t="str">
        <f>'Raw material'!CK145</f>
        <v>1265.4</v>
      </c>
      <c r="E145" s="76" t="str">
        <f t="shared" si="3"/>
        <v>3467.6</v>
      </c>
      <c r="F145" s="13"/>
      <c r="G145" s="13"/>
    </row>
    <row r="146" ht="14.25" customHeight="1">
      <c r="A146" s="51" t="s">
        <v>373</v>
      </c>
      <c r="B146" s="51" t="s">
        <v>374</v>
      </c>
      <c r="C146" s="32">
        <v>1808.0</v>
      </c>
      <c r="D146" s="32" t="str">
        <f>'Raw material'!CK146</f>
        <v>427.2</v>
      </c>
      <c r="E146" s="32" t="str">
        <f t="shared" si="3"/>
        <v>1380.8</v>
      </c>
      <c r="F146" s="13"/>
      <c r="G146" s="13"/>
    </row>
    <row r="147" ht="14.25" customHeight="1">
      <c r="A147" s="62" t="s">
        <v>375</v>
      </c>
      <c r="B147" s="62" t="s">
        <v>376</v>
      </c>
      <c r="C147" s="76"/>
      <c r="D147" s="76" t="str">
        <f>'Raw material'!CK147</f>
        <v>0</v>
      </c>
      <c r="E147" s="76" t="str">
        <f t="shared" si="3"/>
        <v>0</v>
      </c>
      <c r="F147" s="13"/>
      <c r="G147" s="13"/>
    </row>
    <row r="148" ht="14.25" customHeight="1">
      <c r="A148" s="51" t="s">
        <v>377</v>
      </c>
      <c r="B148" s="51" t="s">
        <v>378</v>
      </c>
      <c r="C148" s="32"/>
      <c r="D148" s="32" t="str">
        <f>'Raw material'!CK148</f>
        <v>0</v>
      </c>
      <c r="E148" s="32" t="str">
        <f t="shared" si="3"/>
        <v>0</v>
      </c>
      <c r="F148" s="13"/>
      <c r="G148" s="13"/>
    </row>
    <row r="149" ht="14.25" customHeight="1">
      <c r="A149" s="62" t="s">
        <v>379</v>
      </c>
      <c r="B149" s="62" t="s">
        <v>380</v>
      </c>
      <c r="C149" s="76">
        <v>50.0</v>
      </c>
      <c r="D149" s="76" t="str">
        <f>'Raw material'!CK149</f>
        <v>100</v>
      </c>
      <c r="E149" s="76" t="str">
        <f t="shared" si="3"/>
        <v>-50</v>
      </c>
      <c r="F149" s="13"/>
      <c r="G149" s="13"/>
    </row>
    <row r="150" ht="14.25" customHeight="1">
      <c r="A150" s="51" t="s">
        <v>381</v>
      </c>
      <c r="B150" s="51" t="s">
        <v>382</v>
      </c>
      <c r="C150" s="32"/>
      <c r="D150" s="32" t="str">
        <f>'Raw material'!CK150</f>
        <v>0</v>
      </c>
      <c r="E150" s="32" t="str">
        <f t="shared" si="3"/>
        <v>0</v>
      </c>
      <c r="F150" s="13"/>
      <c r="G150" s="13"/>
    </row>
    <row r="151" ht="14.25" customHeight="1">
      <c r="A151" s="62" t="s">
        <v>383</v>
      </c>
      <c r="B151" s="63" t="s">
        <v>384</v>
      </c>
      <c r="C151" s="76">
        <v>2.0</v>
      </c>
      <c r="D151" s="76" t="str">
        <f>'Raw material'!CK151</f>
        <v>22</v>
      </c>
      <c r="E151" s="76" t="str">
        <f t="shared" si="3"/>
        <v>-20</v>
      </c>
      <c r="F151" s="13"/>
      <c r="G151" s="13"/>
    </row>
    <row r="152" ht="14.25" customHeight="1">
      <c r="A152" s="52" t="s">
        <v>385</v>
      </c>
      <c r="B152" s="52" t="s">
        <v>386</v>
      </c>
      <c r="C152" s="32"/>
      <c r="D152" s="32" t="str">
        <f>'Raw material'!CK152</f>
        <v>0</v>
      </c>
      <c r="E152" s="32" t="str">
        <f t="shared" si="3"/>
        <v>0</v>
      </c>
      <c r="F152" s="13"/>
      <c r="G152" s="13"/>
    </row>
    <row r="153" ht="14.25" customHeight="1">
      <c r="A153" s="63" t="s">
        <v>387</v>
      </c>
      <c r="B153" s="63" t="s">
        <v>388</v>
      </c>
      <c r="C153" s="76">
        <v>0.0</v>
      </c>
      <c r="D153" s="76" t="str">
        <f>'Raw material'!CK153</f>
        <v>5445</v>
      </c>
      <c r="E153" s="76" t="str">
        <f t="shared" si="3"/>
        <v>-5445</v>
      </c>
      <c r="F153" s="13"/>
      <c r="G153" s="13"/>
    </row>
    <row r="154" ht="14.25" customHeight="1">
      <c r="F154" s="13"/>
      <c r="G154" s="13"/>
    </row>
    <row r="155" ht="14.25" customHeight="1">
      <c r="F155" s="13"/>
      <c r="G155" s="13"/>
    </row>
    <row r="156" ht="14.25" customHeight="1">
      <c r="F156" s="13"/>
      <c r="G156" s="13"/>
    </row>
    <row r="157" ht="14.25" customHeight="1">
      <c r="F157" s="13"/>
      <c r="G157" s="13"/>
    </row>
    <row r="158" ht="14.25" customHeight="1">
      <c r="F158" s="13"/>
      <c r="G158" s="13"/>
    </row>
    <row r="159" ht="14.25" customHeight="1">
      <c r="F159" s="13"/>
      <c r="G159" s="13"/>
    </row>
    <row r="160" ht="14.25" customHeight="1">
      <c r="F160" s="13"/>
      <c r="G160" s="13"/>
    </row>
    <row r="161" ht="14.25" customHeight="1">
      <c r="F161" s="13"/>
      <c r="G161" s="13"/>
    </row>
    <row r="162" ht="14.25" customHeight="1">
      <c r="F162" s="13"/>
      <c r="G162" s="13"/>
    </row>
    <row r="163" ht="14.25" customHeight="1">
      <c r="F163" s="13"/>
      <c r="G163" s="13"/>
    </row>
    <row r="164" ht="14.25" customHeight="1">
      <c r="F164" s="13"/>
      <c r="G164" s="13"/>
    </row>
    <row r="165" ht="14.25" customHeight="1">
      <c r="F165" s="13"/>
      <c r="G165" s="13"/>
    </row>
    <row r="166" ht="14.25" customHeight="1">
      <c r="F166" s="13"/>
      <c r="G166" s="13"/>
    </row>
    <row r="167" ht="14.25" customHeight="1">
      <c r="F167" s="13"/>
      <c r="G167" s="13"/>
    </row>
    <row r="168" ht="14.25" customHeight="1">
      <c r="F168" s="13"/>
      <c r="G168" s="13"/>
    </row>
    <row r="169" ht="14.25" customHeight="1">
      <c r="F169" s="13"/>
      <c r="G169" s="13"/>
    </row>
    <row r="170" ht="14.25" customHeight="1">
      <c r="F170" s="13"/>
      <c r="G170" s="13"/>
    </row>
    <row r="171" ht="14.25" customHeight="1">
      <c r="F171" s="13"/>
      <c r="G171" s="13"/>
    </row>
    <row r="172" ht="14.25" customHeight="1">
      <c r="F172" s="13"/>
      <c r="G172" s="13"/>
    </row>
    <row r="173" ht="14.25" customHeight="1">
      <c r="F173" s="13"/>
      <c r="G173" s="13"/>
    </row>
    <row r="174" ht="14.25" customHeight="1">
      <c r="F174" s="13"/>
      <c r="G174" s="13"/>
    </row>
    <row r="175" ht="14.25" customHeight="1">
      <c r="F175" s="13"/>
      <c r="G175" s="13"/>
    </row>
    <row r="176" ht="14.25" customHeight="1">
      <c r="F176" s="13"/>
      <c r="G176" s="13"/>
    </row>
    <row r="177" ht="14.25" customHeight="1">
      <c r="F177" s="13"/>
      <c r="G177" s="13"/>
    </row>
    <row r="178" ht="14.25" customHeight="1">
      <c r="F178" s="13"/>
      <c r="G178" s="13"/>
    </row>
    <row r="179" ht="14.25" customHeight="1">
      <c r="F179" s="13"/>
      <c r="G179" s="13"/>
    </row>
    <row r="180" ht="14.25" customHeight="1">
      <c r="A180" s="92"/>
      <c r="B180" s="93"/>
      <c r="C180" s="94"/>
      <c r="D180" s="94"/>
      <c r="E180" s="94"/>
      <c r="F180" s="95"/>
      <c r="G180" s="13"/>
    </row>
    <row r="181" ht="14.25" customHeight="1">
      <c r="A181" s="96"/>
      <c r="B181" s="97"/>
      <c r="C181" s="98"/>
      <c r="D181" s="98"/>
      <c r="E181" s="98"/>
      <c r="F181" s="99"/>
      <c r="G181" s="13"/>
    </row>
    <row r="182" ht="14.25" customHeight="1">
      <c r="A182" s="100"/>
      <c r="B182" s="101"/>
      <c r="C182" s="102"/>
      <c r="D182" s="102"/>
      <c r="E182" s="102"/>
      <c r="F182" s="99"/>
      <c r="G182" s="13"/>
    </row>
    <row r="183" ht="14.25" customHeight="1">
      <c r="A183" s="96"/>
      <c r="B183" s="97"/>
      <c r="C183" s="98"/>
      <c r="D183" s="98"/>
      <c r="E183" s="98"/>
      <c r="F183" s="99"/>
      <c r="G183" s="13"/>
    </row>
    <row r="184" ht="14.25" customHeight="1">
      <c r="A184" s="100"/>
      <c r="B184" s="101"/>
      <c r="C184" s="102"/>
      <c r="D184" s="102"/>
      <c r="E184" s="102"/>
      <c r="F184" s="99"/>
      <c r="G184" s="13"/>
    </row>
    <row r="185" ht="14.25" customHeight="1">
      <c r="A185" s="96"/>
      <c r="B185" s="97"/>
      <c r="C185" s="98"/>
      <c r="D185" s="98"/>
      <c r="E185" s="98"/>
      <c r="F185" s="99"/>
      <c r="G185" s="13"/>
    </row>
    <row r="186" ht="14.25" customHeight="1">
      <c r="A186" s="100"/>
      <c r="B186" s="101"/>
      <c r="C186" s="102"/>
      <c r="D186" s="102"/>
      <c r="E186" s="102"/>
      <c r="F186" s="99"/>
      <c r="G186" s="13"/>
    </row>
    <row r="187" ht="14.25" customHeight="1">
      <c r="A187" s="96"/>
      <c r="B187" s="97"/>
      <c r="C187" s="98"/>
      <c r="D187" s="98"/>
      <c r="E187" s="98"/>
      <c r="F187" s="99"/>
      <c r="G187" s="13"/>
    </row>
    <row r="188" ht="14.25" customHeight="1">
      <c r="A188" s="100"/>
      <c r="B188" s="101"/>
      <c r="C188" s="102"/>
      <c r="D188" s="102"/>
      <c r="E188" s="102"/>
      <c r="F188" s="99"/>
      <c r="G188" s="13"/>
    </row>
    <row r="189" ht="14.25" customHeight="1">
      <c r="A189" s="103"/>
      <c r="B189" s="104"/>
      <c r="C189" s="105"/>
      <c r="D189" s="105"/>
      <c r="E189" s="105"/>
      <c r="F189" s="99"/>
      <c r="G189" s="13"/>
    </row>
    <row r="190" ht="14.25" customHeight="1">
      <c r="A190" s="100"/>
      <c r="B190" s="101"/>
      <c r="C190" s="102"/>
      <c r="D190" s="102"/>
      <c r="E190" s="102"/>
      <c r="F190" s="99"/>
      <c r="G190" s="13"/>
    </row>
    <row r="191" ht="14.25" customHeight="1">
      <c r="A191" s="96"/>
      <c r="B191" s="97"/>
      <c r="C191" s="98"/>
      <c r="D191" s="98"/>
      <c r="E191" s="98"/>
      <c r="F191" s="99"/>
      <c r="G191" s="13"/>
    </row>
    <row r="192" ht="14.25" customHeight="1">
      <c r="A192" s="100"/>
      <c r="B192" s="101"/>
      <c r="C192" s="102"/>
      <c r="D192" s="102"/>
      <c r="E192" s="102"/>
      <c r="F192" s="99"/>
      <c r="G192" s="13"/>
    </row>
    <row r="193" ht="14.25" customHeight="1">
      <c r="A193" s="96"/>
      <c r="B193" s="97"/>
      <c r="C193" s="98"/>
      <c r="D193" s="98"/>
      <c r="E193" s="98"/>
      <c r="F193" s="99"/>
      <c r="G193" s="13"/>
    </row>
    <row r="194" ht="14.25" customHeight="1">
      <c r="A194" s="106"/>
      <c r="G194" s="13"/>
    </row>
  </sheetData>
  <mergeCells count="1">
    <mergeCell ref="AE78:AE79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7" t="s">
        <v>428</v>
      </c>
      <c r="B1" s="107" t="s">
        <v>429</v>
      </c>
      <c r="C1" s="107" t="s">
        <v>430</v>
      </c>
      <c r="D1" s="107" t="s">
        <v>431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6.33"/>
    <col customWidth="1" min="2" max="2" width="11.33"/>
    <col customWidth="1" min="3" max="3" width="11.67"/>
    <col customWidth="1" min="4" max="4" width="15.67"/>
    <col customWidth="1" min="5" max="6" width="12.11"/>
    <col customWidth="1" min="7" max="7" width="13.0"/>
    <col customWidth="1" min="8" max="8" width="11.56"/>
    <col customWidth="1" min="9" max="11" width="8.89"/>
    <col customWidth="1" min="12" max="12" width="11.56"/>
    <col customWidth="1" min="13" max="13" width="12.89"/>
    <col customWidth="1" min="14" max="24" width="8.89"/>
    <col customWidth="1" min="25" max="25" width="10.0"/>
    <col customWidth="1" min="26" max="26" width="11.67"/>
    <col customWidth="1" min="27" max="27" width="12.33"/>
    <col customWidth="1" min="28" max="32" width="8.89"/>
    <col customWidth="1" min="33" max="35" width="11.0"/>
    <col customWidth="1" min="36" max="36" width="15.67"/>
    <col customWidth="1" min="37" max="37" width="12.89"/>
    <col customWidth="1" min="38" max="38" width="11.67"/>
    <col customWidth="1" min="39" max="39" width="11.33"/>
    <col customWidth="1" min="40" max="40" width="10.67"/>
    <col customWidth="1" min="41" max="41" width="8.67"/>
  </cols>
  <sheetData>
    <row r="1" ht="14.25" hidden="1" customHeight="1">
      <c r="F1" s="108" t="s">
        <v>432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10"/>
      <c r="S1" s="111"/>
      <c r="T1" s="111" t="s">
        <v>433</v>
      </c>
      <c r="U1" s="112"/>
      <c r="V1" s="112"/>
      <c r="W1" s="113"/>
      <c r="X1" s="113" t="s">
        <v>434</v>
      </c>
      <c r="Y1" s="113"/>
      <c r="Z1" s="113"/>
      <c r="AA1" s="113"/>
      <c r="AB1" s="114"/>
      <c r="AC1" s="115"/>
      <c r="AD1" s="115"/>
      <c r="AE1" s="115"/>
      <c r="AF1" s="81"/>
      <c r="AK1" s="116"/>
    </row>
    <row r="2" ht="14.25" customHeight="1">
      <c r="C2" s="117" t="s">
        <v>435</v>
      </c>
      <c r="D2" s="117" t="s">
        <v>436</v>
      </c>
      <c r="E2" s="118" t="s">
        <v>437</v>
      </c>
      <c r="F2" s="117" t="s">
        <v>438</v>
      </c>
      <c r="G2" s="117" t="s">
        <v>439</v>
      </c>
      <c r="H2" s="117" t="s">
        <v>440</v>
      </c>
      <c r="I2" s="117" t="s">
        <v>441</v>
      </c>
      <c r="J2" s="117" t="s">
        <v>442</v>
      </c>
      <c r="K2" s="117" t="s">
        <v>443</v>
      </c>
      <c r="L2" s="117" t="s">
        <v>444</v>
      </c>
      <c r="M2" s="117" t="s">
        <v>445</v>
      </c>
      <c r="N2" s="117" t="s">
        <v>446</v>
      </c>
      <c r="O2" s="117" t="s">
        <v>447</v>
      </c>
      <c r="P2" s="117" t="s">
        <v>448</v>
      </c>
      <c r="Q2" s="119" t="s">
        <v>449</v>
      </c>
      <c r="R2" s="120" t="s">
        <v>433</v>
      </c>
      <c r="S2" s="119" t="s">
        <v>450</v>
      </c>
      <c r="T2" s="119" t="s">
        <v>451</v>
      </c>
      <c r="U2" s="73" t="s">
        <v>452</v>
      </c>
      <c r="V2" s="120" t="s">
        <v>453</v>
      </c>
      <c r="W2" s="119" t="s">
        <v>454</v>
      </c>
      <c r="X2" s="119" t="s">
        <v>455</v>
      </c>
      <c r="Y2" s="119" t="s">
        <v>456</v>
      </c>
      <c r="Z2" s="119" t="s">
        <v>457</v>
      </c>
      <c r="AA2" s="119" t="s">
        <v>458</v>
      </c>
      <c r="AB2" s="117" t="s">
        <v>459</v>
      </c>
      <c r="AC2" s="121" t="s">
        <v>447</v>
      </c>
      <c r="AD2" s="73" t="s">
        <v>448</v>
      </c>
      <c r="AE2" s="73" t="s">
        <v>449</v>
      </c>
      <c r="AF2" s="122" t="s">
        <v>460</v>
      </c>
      <c r="AG2" s="123" t="s">
        <v>461</v>
      </c>
      <c r="AH2" s="119" t="s">
        <v>462</v>
      </c>
      <c r="AI2" s="117" t="s">
        <v>463</v>
      </c>
      <c r="AJ2" s="73" t="s">
        <v>464</v>
      </c>
      <c r="AK2" s="116" t="s">
        <v>465</v>
      </c>
      <c r="AL2" s="123" t="s">
        <v>466</v>
      </c>
      <c r="AM2" s="119" t="s">
        <v>467</v>
      </c>
      <c r="AN2" s="119" t="s">
        <v>468</v>
      </c>
      <c r="AO2" s="119" t="s">
        <v>469</v>
      </c>
    </row>
    <row r="3" ht="14.25" customHeight="1">
      <c r="A3" s="15" t="s">
        <v>0</v>
      </c>
      <c r="B3" s="74" t="str">
        <f t="array" ref="B3:B86">TRANSPOSE('Raw material'!C3:CH3)</f>
        <v>0</v>
      </c>
      <c r="C3" s="117" t="str">
        <f t="shared" ref="C3:C4" si="1">F3</f>
        <v>0</v>
      </c>
      <c r="D3" s="117"/>
      <c r="E3" s="118" t="s">
        <v>437</v>
      </c>
      <c r="F3" s="117" t="str">
        <f>B3*78</f>
        <v>0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9"/>
      <c r="R3" s="120" t="s">
        <v>433</v>
      </c>
      <c r="S3" s="119"/>
      <c r="T3" s="119"/>
      <c r="U3" s="73"/>
      <c r="V3" s="120" t="s">
        <v>453</v>
      </c>
      <c r="W3" s="119"/>
      <c r="X3" s="119"/>
      <c r="Y3" s="119"/>
      <c r="Z3" s="119"/>
      <c r="AA3" s="119"/>
      <c r="AB3" s="117"/>
      <c r="AC3" s="119"/>
      <c r="AD3" s="73"/>
      <c r="AE3" s="73"/>
      <c r="AF3" s="122" t="s">
        <v>460</v>
      </c>
      <c r="AK3" s="116" t="s">
        <v>465</v>
      </c>
    </row>
    <row r="4" ht="14.25" customHeight="1">
      <c r="A4" s="16" t="s">
        <v>1</v>
      </c>
      <c r="B4" s="74">
        <v>3.0</v>
      </c>
      <c r="C4" s="117" t="str">
        <f t="shared" si="1"/>
        <v>297</v>
      </c>
      <c r="D4" s="117"/>
      <c r="E4" s="118" t="s">
        <v>437</v>
      </c>
      <c r="F4" s="117" t="str">
        <f>B4*99</f>
        <v>297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9"/>
      <c r="R4" s="120" t="s">
        <v>433</v>
      </c>
      <c r="S4" s="119"/>
      <c r="T4" s="119"/>
      <c r="U4" s="73"/>
      <c r="V4" s="120" t="s">
        <v>453</v>
      </c>
      <c r="W4" s="119"/>
      <c r="X4" s="119"/>
      <c r="Y4" s="119"/>
      <c r="Z4" s="119"/>
      <c r="AA4" s="119"/>
      <c r="AB4" s="117"/>
      <c r="AC4" s="119"/>
      <c r="AD4" s="73"/>
      <c r="AE4" s="73"/>
      <c r="AF4" s="122" t="s">
        <v>460</v>
      </c>
      <c r="AK4" s="116" t="s">
        <v>465</v>
      </c>
    </row>
    <row r="5" ht="14.25" customHeight="1">
      <c r="A5" s="15" t="s">
        <v>2</v>
      </c>
      <c r="B5" s="74">
        <v>5.0</v>
      </c>
      <c r="C5" s="117" t="str">
        <f>I5+W5</f>
        <v>2425</v>
      </c>
      <c r="D5" s="117"/>
      <c r="E5" s="118" t="s">
        <v>437</v>
      </c>
      <c r="F5" s="117"/>
      <c r="G5" s="117"/>
      <c r="H5" s="117"/>
      <c r="I5" s="117" t="str">
        <f>W5*4</f>
        <v>1940</v>
      </c>
      <c r="J5" s="117"/>
      <c r="K5" s="117"/>
      <c r="L5" s="117"/>
      <c r="M5" s="117"/>
      <c r="N5" s="117"/>
      <c r="O5" s="117"/>
      <c r="P5" s="117"/>
      <c r="Q5" s="119"/>
      <c r="R5" s="120" t="s">
        <v>433</v>
      </c>
      <c r="S5" s="119"/>
      <c r="T5" s="119"/>
      <c r="U5" s="73"/>
      <c r="V5" s="120" t="s">
        <v>453</v>
      </c>
      <c r="W5" s="119" t="str">
        <f>B5*97</f>
        <v>485</v>
      </c>
      <c r="X5" s="119"/>
      <c r="Y5" s="119"/>
      <c r="Z5" s="119"/>
      <c r="AA5" s="119"/>
      <c r="AB5" s="117"/>
      <c r="AC5" s="119"/>
      <c r="AD5" s="73"/>
      <c r="AE5" s="73"/>
      <c r="AF5" s="122" t="s">
        <v>460</v>
      </c>
      <c r="AK5" s="116" t="s">
        <v>465</v>
      </c>
    </row>
    <row r="6" ht="14.25" customHeight="1">
      <c r="A6" s="16" t="s">
        <v>3</v>
      </c>
      <c r="B6" s="77">
        <v>2.0</v>
      </c>
      <c r="C6" s="117" t="str">
        <f>J6+X6</f>
        <v>1080</v>
      </c>
      <c r="D6" s="117"/>
      <c r="E6" s="118" t="s">
        <v>437</v>
      </c>
      <c r="F6" s="117"/>
      <c r="G6" s="117"/>
      <c r="H6" s="117"/>
      <c r="I6" s="117"/>
      <c r="J6" s="117" t="str">
        <f>X6*2</f>
        <v>720</v>
      </c>
      <c r="K6" s="117"/>
      <c r="L6" s="117"/>
      <c r="M6" s="117"/>
      <c r="N6" s="117"/>
      <c r="O6" s="117"/>
      <c r="P6" s="117"/>
      <c r="Q6" s="119"/>
      <c r="R6" s="120" t="s">
        <v>433</v>
      </c>
      <c r="S6" s="119"/>
      <c r="T6" s="119"/>
      <c r="U6" s="73"/>
      <c r="V6" s="120" t="s">
        <v>453</v>
      </c>
      <c r="W6" s="119"/>
      <c r="X6" s="119" t="str">
        <f>B6*180</f>
        <v>360</v>
      </c>
      <c r="Y6" s="119"/>
      <c r="Z6" s="119"/>
      <c r="AA6" s="119"/>
      <c r="AB6" s="117"/>
      <c r="AC6" s="119"/>
      <c r="AD6" s="73"/>
      <c r="AE6" s="73"/>
      <c r="AF6" s="122" t="s">
        <v>460</v>
      </c>
      <c r="AK6" s="116" t="s">
        <v>465</v>
      </c>
    </row>
    <row r="7" ht="14.25" customHeight="1">
      <c r="A7" s="15" t="s">
        <v>4</v>
      </c>
      <c r="B7" s="74">
        <v>1.0</v>
      </c>
      <c r="C7" s="117" t="str">
        <f>T7</f>
        <v>100</v>
      </c>
      <c r="D7" s="117"/>
      <c r="E7" s="118" t="s">
        <v>437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9"/>
      <c r="R7" s="120" t="s">
        <v>433</v>
      </c>
      <c r="S7" s="119"/>
      <c r="T7" s="119" t="str">
        <f>B7*100</f>
        <v>100</v>
      </c>
      <c r="U7" s="73"/>
      <c r="V7" s="120" t="s">
        <v>453</v>
      </c>
      <c r="W7" s="119"/>
      <c r="X7" s="119"/>
      <c r="Y7" s="119"/>
      <c r="Z7" s="119"/>
      <c r="AA7" s="119"/>
      <c r="AB7" s="117"/>
      <c r="AC7" s="119"/>
      <c r="AD7" s="73"/>
      <c r="AE7" s="73"/>
      <c r="AF7" s="122" t="s">
        <v>460</v>
      </c>
      <c r="AK7" s="116" t="s">
        <v>465</v>
      </c>
    </row>
    <row r="8" ht="14.25" customHeight="1">
      <c r="A8" s="15" t="s">
        <v>5</v>
      </c>
      <c r="B8" s="74">
        <v>1.0</v>
      </c>
      <c r="C8" s="117" t="str">
        <f t="shared" ref="C8:C9" si="2">J8+X8</f>
        <v>546</v>
      </c>
      <c r="D8" s="117"/>
      <c r="E8" s="118" t="s">
        <v>437</v>
      </c>
      <c r="F8" s="117"/>
      <c r="G8" s="117"/>
      <c r="H8" s="117"/>
      <c r="I8" s="117"/>
      <c r="J8" s="117" t="str">
        <f t="shared" ref="J8:J9" si="3">X8*2</f>
        <v>364</v>
      </c>
      <c r="K8" s="117"/>
      <c r="L8" s="117"/>
      <c r="M8" s="117"/>
      <c r="N8" s="117"/>
      <c r="O8" s="117"/>
      <c r="P8" s="117"/>
      <c r="Q8" s="119"/>
      <c r="R8" s="120" t="s">
        <v>433</v>
      </c>
      <c r="S8" s="119"/>
      <c r="T8" s="119"/>
      <c r="U8" s="73"/>
      <c r="V8" s="120" t="s">
        <v>453</v>
      </c>
      <c r="W8" s="119"/>
      <c r="X8" s="119" t="str">
        <f>B8*182</f>
        <v>182</v>
      </c>
      <c r="Y8" s="119"/>
      <c r="Z8" s="119"/>
      <c r="AA8" s="119"/>
      <c r="AB8" s="117"/>
      <c r="AC8" s="119"/>
      <c r="AD8" s="73"/>
      <c r="AE8" s="73"/>
      <c r="AF8" s="122" t="s">
        <v>460</v>
      </c>
      <c r="AK8" s="116" t="s">
        <v>465</v>
      </c>
    </row>
    <row r="9" ht="14.25" customHeight="1">
      <c r="A9" s="15" t="s">
        <v>6</v>
      </c>
      <c r="B9" s="77">
        <v>4.0</v>
      </c>
      <c r="C9" s="117" t="str">
        <f t="shared" si="2"/>
        <v>2148</v>
      </c>
      <c r="D9" s="117"/>
      <c r="E9" s="118" t="s">
        <v>437</v>
      </c>
      <c r="F9" s="117"/>
      <c r="G9" s="117"/>
      <c r="H9" s="117"/>
      <c r="I9" s="117"/>
      <c r="J9" s="117" t="str">
        <f t="shared" si="3"/>
        <v>1432</v>
      </c>
      <c r="K9" s="117"/>
      <c r="L9" s="117"/>
      <c r="M9" s="117"/>
      <c r="N9" s="117"/>
      <c r="O9" s="117"/>
      <c r="P9" s="117"/>
      <c r="Q9" s="119"/>
      <c r="R9" s="120" t="s">
        <v>433</v>
      </c>
      <c r="S9" s="119"/>
      <c r="T9" s="119"/>
      <c r="U9" s="73"/>
      <c r="V9" s="120" t="s">
        <v>453</v>
      </c>
      <c r="W9" s="119"/>
      <c r="X9" s="119" t="str">
        <f>B9*179</f>
        <v>716</v>
      </c>
      <c r="Y9" s="119"/>
      <c r="Z9" s="119"/>
      <c r="AA9" s="119"/>
      <c r="AB9" s="117"/>
      <c r="AC9" s="119"/>
      <c r="AD9" s="73"/>
      <c r="AE9" s="73"/>
      <c r="AF9" s="122" t="s">
        <v>460</v>
      </c>
      <c r="AK9" s="116" t="s">
        <v>465</v>
      </c>
    </row>
    <row r="10" ht="14.25" customHeight="1">
      <c r="A10" s="124" t="s">
        <v>7</v>
      </c>
      <c r="B10" s="74"/>
      <c r="C10" s="117"/>
      <c r="D10" s="117"/>
      <c r="E10" s="118" t="s">
        <v>437</v>
      </c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9"/>
      <c r="R10" s="120" t="s">
        <v>433</v>
      </c>
      <c r="S10" s="119"/>
      <c r="T10" s="119"/>
      <c r="U10" s="73"/>
      <c r="V10" s="120" t="s">
        <v>453</v>
      </c>
      <c r="W10" s="119"/>
      <c r="X10" s="119"/>
      <c r="Y10" s="119"/>
      <c r="Z10" s="119"/>
      <c r="AA10" s="119"/>
      <c r="AB10" s="117"/>
      <c r="AC10" s="119"/>
      <c r="AD10" s="73"/>
      <c r="AE10" s="73"/>
      <c r="AF10" s="122" t="s">
        <v>460</v>
      </c>
      <c r="AK10" s="116" t="s">
        <v>465</v>
      </c>
    </row>
    <row r="11" ht="14.25" customHeight="1">
      <c r="A11" s="15" t="s">
        <v>8</v>
      </c>
      <c r="B11" s="74">
        <v>0.5</v>
      </c>
      <c r="C11" s="117" t="str">
        <f>L11+AA11</f>
        <v>924</v>
      </c>
      <c r="D11" s="117" t="str">
        <f>L11</f>
        <v>792</v>
      </c>
      <c r="E11" s="118" t="s">
        <v>437</v>
      </c>
      <c r="F11" s="117"/>
      <c r="G11" s="117"/>
      <c r="H11" s="117"/>
      <c r="I11" s="117"/>
      <c r="J11" s="117"/>
      <c r="K11" s="117"/>
      <c r="L11" s="117" t="str">
        <f>AA11*6</f>
        <v>792</v>
      </c>
      <c r="M11" s="117"/>
      <c r="N11" s="117"/>
      <c r="O11" s="117"/>
      <c r="P11" s="117"/>
      <c r="Q11" s="119"/>
      <c r="R11" s="120" t="s">
        <v>433</v>
      </c>
      <c r="S11" s="119"/>
      <c r="T11" s="119"/>
      <c r="U11" s="73"/>
      <c r="V11" s="120" t="s">
        <v>453</v>
      </c>
      <c r="W11" s="119"/>
      <c r="X11" s="119"/>
      <c r="Y11" s="119"/>
      <c r="Z11" s="119"/>
      <c r="AA11" s="119" t="str">
        <f>B11*264</f>
        <v>132</v>
      </c>
      <c r="AB11" s="117"/>
      <c r="AC11" s="119"/>
      <c r="AD11" s="73"/>
      <c r="AE11" s="73"/>
      <c r="AF11" s="122" t="s">
        <v>460</v>
      </c>
      <c r="AK11" s="116" t="s">
        <v>465</v>
      </c>
    </row>
    <row r="12" ht="14.25" customHeight="1">
      <c r="A12" s="16" t="s">
        <v>9</v>
      </c>
      <c r="B12" s="74">
        <v>1.0</v>
      </c>
      <c r="C12" s="117" t="str">
        <f t="shared" ref="C12:C13" si="4">T12</f>
        <v>100</v>
      </c>
      <c r="D12" s="117"/>
      <c r="E12" s="118" t="s">
        <v>437</v>
      </c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9"/>
      <c r="R12" s="120" t="s">
        <v>433</v>
      </c>
      <c r="S12" s="119"/>
      <c r="T12" s="119" t="str">
        <f t="shared" ref="T12:T13" si="5">B12*100</f>
        <v>100</v>
      </c>
      <c r="U12" s="73"/>
      <c r="V12" s="120" t="s">
        <v>453</v>
      </c>
      <c r="W12" s="119"/>
      <c r="X12" s="119"/>
      <c r="Y12" s="119"/>
      <c r="Z12" s="119"/>
      <c r="AA12" s="119"/>
      <c r="AB12" s="117"/>
      <c r="AC12" s="119"/>
      <c r="AD12" s="73"/>
      <c r="AE12" s="73"/>
      <c r="AF12" s="122" t="s">
        <v>460</v>
      </c>
      <c r="AK12" s="116" t="s">
        <v>465</v>
      </c>
    </row>
    <row r="13" ht="14.25" customHeight="1">
      <c r="A13" s="16" t="s">
        <v>10</v>
      </c>
      <c r="B13" s="77">
        <v>3.0</v>
      </c>
      <c r="C13" s="117" t="str">
        <f t="shared" si="4"/>
        <v>300</v>
      </c>
      <c r="D13" s="117"/>
      <c r="E13" s="118" t="s">
        <v>437</v>
      </c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9"/>
      <c r="R13" s="120" t="s">
        <v>433</v>
      </c>
      <c r="S13" s="119"/>
      <c r="T13" s="119" t="str">
        <f t="shared" si="5"/>
        <v>300</v>
      </c>
      <c r="U13" s="73"/>
      <c r="V13" s="120" t="s">
        <v>453</v>
      </c>
      <c r="W13" s="119"/>
      <c r="X13" s="119"/>
      <c r="Y13" s="119"/>
      <c r="Z13" s="119"/>
      <c r="AA13" s="119"/>
      <c r="AB13" s="117"/>
      <c r="AC13" s="119"/>
      <c r="AD13" s="73"/>
      <c r="AE13" s="73"/>
      <c r="AF13" s="122" t="s">
        <v>460</v>
      </c>
      <c r="AK13" s="116" t="s">
        <v>465</v>
      </c>
    </row>
    <row r="14" ht="14.25" customHeight="1">
      <c r="A14" s="16" t="s">
        <v>11</v>
      </c>
      <c r="B14" s="74">
        <v>1.0</v>
      </c>
      <c r="C14" s="117" t="str">
        <f>J14+X14</f>
        <v>600</v>
      </c>
      <c r="D14" s="117"/>
      <c r="E14" s="118" t="s">
        <v>437</v>
      </c>
      <c r="F14" s="117"/>
      <c r="G14" s="117"/>
      <c r="H14" s="117"/>
      <c r="I14" s="117"/>
      <c r="J14" s="117" t="str">
        <f>X14*2</f>
        <v>400</v>
      </c>
      <c r="K14" s="117"/>
      <c r="L14" s="117"/>
      <c r="M14" s="117"/>
      <c r="N14" s="117"/>
      <c r="O14" s="117"/>
      <c r="P14" s="117"/>
      <c r="Q14" s="119"/>
      <c r="R14" s="120" t="s">
        <v>433</v>
      </c>
      <c r="S14" s="119"/>
      <c r="T14" s="119"/>
      <c r="U14" s="73"/>
      <c r="V14" s="120" t="s">
        <v>453</v>
      </c>
      <c r="W14" s="119"/>
      <c r="X14" s="119" t="str">
        <f>B14*200</f>
        <v>200</v>
      </c>
      <c r="Y14" s="119"/>
      <c r="Z14" s="119"/>
      <c r="AA14" s="119"/>
      <c r="AB14" s="117"/>
      <c r="AC14" s="119"/>
      <c r="AD14" s="73"/>
      <c r="AE14" s="73"/>
      <c r="AF14" s="122" t="s">
        <v>460</v>
      </c>
      <c r="AK14" s="116" t="s">
        <v>465</v>
      </c>
    </row>
    <row r="15" ht="14.25" customHeight="1">
      <c r="A15" s="15" t="s">
        <v>12</v>
      </c>
      <c r="B15" s="74"/>
      <c r="C15" s="117" t="str">
        <f>U15</f>
        <v>0</v>
      </c>
      <c r="D15" s="117" t="str">
        <f>C15</f>
        <v>0</v>
      </c>
      <c r="E15" s="118" t="s">
        <v>437</v>
      </c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9"/>
      <c r="R15" s="120" t="s">
        <v>433</v>
      </c>
      <c r="S15" s="119"/>
      <c r="T15" s="119"/>
      <c r="U15" s="73" t="str">
        <f>B15*333</f>
        <v>0</v>
      </c>
      <c r="V15" s="120" t="s">
        <v>453</v>
      </c>
      <c r="W15" s="119"/>
      <c r="X15" s="119"/>
      <c r="Y15" s="119"/>
      <c r="Z15" s="119"/>
      <c r="AA15" s="119"/>
      <c r="AB15" s="117"/>
      <c r="AC15" s="119"/>
      <c r="AD15" s="73"/>
      <c r="AE15" s="73"/>
      <c r="AF15" s="122" t="s">
        <v>460</v>
      </c>
      <c r="AK15" s="116" t="s">
        <v>465</v>
      </c>
    </row>
    <row r="16" ht="14.25" customHeight="1">
      <c r="A16" s="15" t="s">
        <v>13</v>
      </c>
      <c r="B16" s="74">
        <v>1.0</v>
      </c>
      <c r="C16" s="117" t="str">
        <f>F16</f>
        <v>97</v>
      </c>
      <c r="D16" s="117"/>
      <c r="E16" s="118" t="s">
        <v>437</v>
      </c>
      <c r="F16" s="117" t="str">
        <f>B16*97</f>
        <v>97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9"/>
      <c r="R16" s="120" t="s">
        <v>433</v>
      </c>
      <c r="S16" s="119"/>
      <c r="T16" s="119"/>
      <c r="U16" s="73"/>
      <c r="V16" s="120" t="s">
        <v>453</v>
      </c>
      <c r="W16" s="119"/>
      <c r="X16" s="119"/>
      <c r="Y16" s="119"/>
      <c r="Z16" s="119"/>
      <c r="AA16" s="119"/>
      <c r="AB16" s="117"/>
      <c r="AC16" s="119"/>
      <c r="AD16" s="73"/>
      <c r="AE16" s="73"/>
      <c r="AF16" s="122" t="s">
        <v>460</v>
      </c>
      <c r="AK16" s="116" t="s">
        <v>465</v>
      </c>
    </row>
    <row r="17" ht="14.25" customHeight="1">
      <c r="A17" s="124" t="s">
        <v>14</v>
      </c>
      <c r="B17" s="77"/>
      <c r="C17" s="117"/>
      <c r="D17" s="117"/>
      <c r="E17" s="118" t="s">
        <v>437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9"/>
      <c r="R17" s="120" t="s">
        <v>433</v>
      </c>
      <c r="S17" s="119"/>
      <c r="T17" s="119"/>
      <c r="U17" s="73"/>
      <c r="V17" s="120" t="s">
        <v>453</v>
      </c>
      <c r="W17" s="119"/>
      <c r="X17" s="119"/>
      <c r="Y17" s="119"/>
      <c r="Z17" s="119"/>
      <c r="AA17" s="119"/>
      <c r="AB17" s="117"/>
      <c r="AC17" s="119"/>
      <c r="AD17" s="73"/>
      <c r="AE17" s="73"/>
      <c r="AF17" s="122" t="s">
        <v>460</v>
      </c>
      <c r="AK17" s="116" t="s">
        <v>465</v>
      </c>
    </row>
    <row r="18" ht="14.25" customHeight="1">
      <c r="A18" s="124" t="s">
        <v>15</v>
      </c>
      <c r="B18" s="77"/>
      <c r="C18" s="117"/>
      <c r="D18" s="117"/>
      <c r="E18" s="118" t="s">
        <v>437</v>
      </c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9"/>
      <c r="R18" s="120" t="s">
        <v>433</v>
      </c>
      <c r="S18" s="119"/>
      <c r="T18" s="119"/>
      <c r="U18" s="73"/>
      <c r="V18" s="120" t="s">
        <v>453</v>
      </c>
      <c r="W18" s="119"/>
      <c r="X18" s="119"/>
      <c r="Y18" s="119"/>
      <c r="Z18" s="119"/>
      <c r="AA18" s="119"/>
      <c r="AB18" s="117"/>
      <c r="AC18" s="119"/>
      <c r="AD18" s="73"/>
      <c r="AE18" s="73"/>
      <c r="AF18" s="122" t="s">
        <v>460</v>
      </c>
      <c r="AK18" s="116" t="s">
        <v>465</v>
      </c>
    </row>
    <row r="19" ht="14.25" customHeight="1">
      <c r="A19" s="124" t="s">
        <v>16</v>
      </c>
      <c r="B19" s="74"/>
      <c r="C19" s="117"/>
      <c r="D19" s="117"/>
      <c r="E19" s="118" t="s">
        <v>437</v>
      </c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9"/>
      <c r="R19" s="120" t="s">
        <v>433</v>
      </c>
      <c r="S19" s="119"/>
      <c r="T19" s="119"/>
      <c r="U19" s="73"/>
      <c r="V19" s="120" t="s">
        <v>453</v>
      </c>
      <c r="W19" s="119"/>
      <c r="X19" s="119"/>
      <c r="Y19" s="119"/>
      <c r="Z19" s="119"/>
      <c r="AA19" s="119"/>
      <c r="AB19" s="117"/>
      <c r="AC19" s="119"/>
      <c r="AD19" s="73"/>
      <c r="AE19" s="73"/>
      <c r="AF19" s="122" t="s">
        <v>460</v>
      </c>
      <c r="AK19" s="116" t="s">
        <v>465</v>
      </c>
    </row>
    <row r="20" ht="14.25" customHeight="1">
      <c r="A20" s="124" t="s">
        <v>17</v>
      </c>
      <c r="B20" s="74"/>
      <c r="C20" s="117"/>
      <c r="D20" s="117"/>
      <c r="E20" s="118" t="s">
        <v>437</v>
      </c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9"/>
      <c r="R20" s="120" t="s">
        <v>433</v>
      </c>
      <c r="S20" s="119"/>
      <c r="T20" s="119"/>
      <c r="U20" s="73"/>
      <c r="V20" s="120" t="s">
        <v>453</v>
      </c>
      <c r="W20" s="119"/>
      <c r="X20" s="119"/>
      <c r="Y20" s="119"/>
      <c r="Z20" s="119"/>
      <c r="AA20" s="119"/>
      <c r="AB20" s="117"/>
      <c r="AC20" s="119"/>
      <c r="AD20" s="73"/>
      <c r="AE20" s="73"/>
      <c r="AF20" s="122" t="s">
        <v>460</v>
      </c>
      <c r="AK20" s="116" t="s">
        <v>465</v>
      </c>
    </row>
    <row r="21" ht="14.25" customHeight="1">
      <c r="A21" s="15" t="s">
        <v>412</v>
      </c>
      <c r="B21" s="74"/>
      <c r="C21" s="117" t="str">
        <f>I21+W21</f>
        <v>0</v>
      </c>
      <c r="D21" s="117"/>
      <c r="E21" s="118" t="s">
        <v>437</v>
      </c>
      <c r="F21" s="117"/>
      <c r="G21" s="117"/>
      <c r="H21" s="117"/>
      <c r="I21" s="117" t="str">
        <f>W21*4</f>
        <v>0</v>
      </c>
      <c r="J21" s="117"/>
      <c r="K21" s="117"/>
      <c r="L21" s="117"/>
      <c r="M21" s="117"/>
      <c r="N21" s="117"/>
      <c r="O21" s="117"/>
      <c r="P21" s="117"/>
      <c r="Q21" s="119"/>
      <c r="R21" s="120" t="s">
        <v>433</v>
      </c>
      <c r="S21" s="119"/>
      <c r="T21" s="119"/>
      <c r="U21" s="73"/>
      <c r="V21" s="120" t="s">
        <v>453</v>
      </c>
      <c r="W21" s="119" t="str">
        <f>B21*97</f>
        <v>0</v>
      </c>
      <c r="X21" s="119"/>
      <c r="Y21" s="119"/>
      <c r="Z21" s="119"/>
      <c r="AA21" s="119"/>
      <c r="AB21" s="117"/>
      <c r="AC21" s="119"/>
      <c r="AD21" s="73"/>
      <c r="AE21" s="73"/>
      <c r="AF21" s="122" t="s">
        <v>460</v>
      </c>
      <c r="AK21" s="116" t="s">
        <v>465</v>
      </c>
    </row>
    <row r="22" ht="14.25" customHeight="1">
      <c r="A22" s="17" t="s">
        <v>20</v>
      </c>
      <c r="B22" s="28">
        <v>1.0</v>
      </c>
      <c r="C22" s="117" t="str">
        <f>F22</f>
        <v>78</v>
      </c>
      <c r="D22" s="117"/>
      <c r="E22" s="118" t="s">
        <v>437</v>
      </c>
      <c r="F22" s="117" t="str">
        <f>B22*78</f>
        <v>78</v>
      </c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9"/>
      <c r="R22" s="120" t="s">
        <v>433</v>
      </c>
      <c r="S22" s="119"/>
      <c r="T22" s="119"/>
      <c r="U22" s="73"/>
      <c r="V22" s="120" t="s">
        <v>453</v>
      </c>
      <c r="W22" s="119"/>
      <c r="X22" s="119"/>
      <c r="Y22" s="119"/>
      <c r="Z22" s="119"/>
      <c r="AA22" s="119"/>
      <c r="AB22" s="117"/>
      <c r="AC22" s="119"/>
      <c r="AD22" s="73"/>
      <c r="AE22" s="73"/>
      <c r="AF22" s="122" t="s">
        <v>460</v>
      </c>
      <c r="AK22" s="116" t="s">
        <v>465</v>
      </c>
    </row>
    <row r="23" ht="14.25" customHeight="1">
      <c r="A23" s="17" t="s">
        <v>21</v>
      </c>
      <c r="B23" s="28"/>
      <c r="C23" s="117" t="str">
        <f>S23</f>
        <v>0</v>
      </c>
      <c r="D23" s="117"/>
      <c r="E23" s="118" t="s">
        <v>437</v>
      </c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9"/>
      <c r="R23" s="120" t="s">
        <v>433</v>
      </c>
      <c r="S23" s="119" t="str">
        <f>B23*50</f>
        <v>0</v>
      </c>
      <c r="T23" s="119"/>
      <c r="U23" s="73"/>
      <c r="V23" s="120" t="s">
        <v>453</v>
      </c>
      <c r="W23" s="119"/>
      <c r="X23" s="119"/>
      <c r="Y23" s="119"/>
      <c r="Z23" s="119"/>
      <c r="AA23" s="119"/>
      <c r="AB23" s="117"/>
      <c r="AC23" s="119"/>
      <c r="AD23" s="73"/>
      <c r="AE23" s="73"/>
      <c r="AF23" s="122" t="s">
        <v>460</v>
      </c>
      <c r="AK23" s="116" t="s">
        <v>465</v>
      </c>
    </row>
    <row r="24" ht="14.25" customHeight="1">
      <c r="A24" s="17" t="s">
        <v>22</v>
      </c>
      <c r="B24" s="19">
        <v>1.0</v>
      </c>
      <c r="C24" s="117" t="str">
        <f t="shared" ref="C24:C25" si="6">G24</f>
        <v>103</v>
      </c>
      <c r="D24" s="117"/>
      <c r="E24" s="118" t="s">
        <v>437</v>
      </c>
      <c r="F24" s="117"/>
      <c r="G24" s="125" t="str">
        <f>B24*103</f>
        <v>103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9"/>
      <c r="R24" s="120" t="s">
        <v>433</v>
      </c>
      <c r="S24" s="119"/>
      <c r="T24" s="119"/>
      <c r="U24" s="73"/>
      <c r="V24" s="120" t="s">
        <v>453</v>
      </c>
      <c r="W24" s="119"/>
      <c r="X24" s="119"/>
      <c r="Y24" s="119"/>
      <c r="Z24" s="119"/>
      <c r="AA24" s="119"/>
      <c r="AB24" s="117"/>
      <c r="AC24" s="119"/>
      <c r="AD24" s="73"/>
      <c r="AE24" s="73"/>
      <c r="AF24" s="122" t="s">
        <v>460</v>
      </c>
      <c r="AK24" s="116" t="s">
        <v>465</v>
      </c>
    </row>
    <row r="25" ht="14.25" customHeight="1">
      <c r="A25" s="18" t="s">
        <v>23</v>
      </c>
      <c r="B25" s="19"/>
      <c r="C25" s="117" t="str">
        <f t="shared" si="6"/>
        <v>0</v>
      </c>
      <c r="D25" s="117"/>
      <c r="E25" s="118" t="s">
        <v>437</v>
      </c>
      <c r="F25" s="117"/>
      <c r="G25" s="117" t="str">
        <f>B25*100</f>
        <v>0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9"/>
      <c r="R25" s="120" t="s">
        <v>433</v>
      </c>
      <c r="S25" s="119"/>
      <c r="T25" s="119"/>
      <c r="U25" s="73"/>
      <c r="V25" s="120" t="s">
        <v>453</v>
      </c>
      <c r="W25" s="119"/>
      <c r="X25" s="119"/>
      <c r="Y25" s="119"/>
      <c r="Z25" s="119"/>
      <c r="AA25" s="119"/>
      <c r="AB25" s="117"/>
      <c r="AC25" s="119"/>
      <c r="AD25" s="73"/>
      <c r="AE25" s="73"/>
      <c r="AF25" s="122" t="s">
        <v>460</v>
      </c>
      <c r="AK25" s="116" t="s">
        <v>465</v>
      </c>
    </row>
    <row r="26" ht="14.25" customHeight="1">
      <c r="A26" s="17" t="s">
        <v>24</v>
      </c>
      <c r="B26" s="19"/>
      <c r="C26" s="117" t="str">
        <f t="shared" ref="C26:C27" si="7">S26</f>
        <v>0</v>
      </c>
      <c r="D26" s="117"/>
      <c r="E26" s="118" t="s">
        <v>437</v>
      </c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9"/>
      <c r="R26" s="120" t="s">
        <v>433</v>
      </c>
      <c r="S26" s="119" t="str">
        <f t="shared" ref="S26:S27" si="8">B26*50</f>
        <v>0</v>
      </c>
      <c r="T26" s="119"/>
      <c r="U26" s="73"/>
      <c r="V26" s="120" t="s">
        <v>453</v>
      </c>
      <c r="W26" s="119"/>
      <c r="X26" s="119"/>
      <c r="Y26" s="119"/>
      <c r="Z26" s="119"/>
      <c r="AA26" s="119"/>
      <c r="AB26" s="117"/>
      <c r="AC26" s="119"/>
      <c r="AD26" s="73"/>
      <c r="AE26" s="73"/>
      <c r="AF26" s="122" t="s">
        <v>460</v>
      </c>
      <c r="AK26" s="116" t="s">
        <v>465</v>
      </c>
    </row>
    <row r="27" ht="14.25" customHeight="1">
      <c r="A27" s="17" t="s">
        <v>25</v>
      </c>
      <c r="B27" s="19">
        <v>2.0</v>
      </c>
      <c r="C27" s="117" t="str">
        <f t="shared" si="7"/>
        <v>100</v>
      </c>
      <c r="D27" s="117"/>
      <c r="E27" s="118" t="s">
        <v>437</v>
      </c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9"/>
      <c r="R27" s="120" t="s">
        <v>433</v>
      </c>
      <c r="S27" s="119" t="str">
        <f t="shared" si="8"/>
        <v>100</v>
      </c>
      <c r="T27" s="119"/>
      <c r="U27" s="73"/>
      <c r="V27" s="120" t="s">
        <v>453</v>
      </c>
      <c r="W27" s="119"/>
      <c r="X27" s="119"/>
      <c r="Y27" s="119"/>
      <c r="Z27" s="119"/>
      <c r="AA27" s="119"/>
      <c r="AB27" s="117"/>
      <c r="AC27" s="119"/>
      <c r="AD27" s="73"/>
      <c r="AE27" s="73"/>
      <c r="AF27" s="122" t="s">
        <v>460</v>
      </c>
      <c r="AK27" s="116" t="s">
        <v>465</v>
      </c>
    </row>
    <row r="28" ht="14.25" customHeight="1">
      <c r="A28" s="17" t="s">
        <v>26</v>
      </c>
      <c r="B28" s="19">
        <v>0.0</v>
      </c>
      <c r="C28" s="117" t="str">
        <f t="shared" ref="C28:C29" si="9">H28</f>
        <v>0</v>
      </c>
      <c r="D28" s="117"/>
      <c r="E28" s="118" t="s">
        <v>437</v>
      </c>
      <c r="F28" s="117"/>
      <c r="G28" s="117"/>
      <c r="H28" s="125" t="str">
        <f>B28*85</f>
        <v>0</v>
      </c>
      <c r="I28" s="117"/>
      <c r="J28" s="117"/>
      <c r="K28" s="117"/>
      <c r="L28" s="117"/>
      <c r="M28" s="117"/>
      <c r="N28" s="117"/>
      <c r="O28" s="117"/>
      <c r="P28" s="117"/>
      <c r="Q28" s="119"/>
      <c r="R28" s="120" t="s">
        <v>433</v>
      </c>
      <c r="S28" s="119"/>
      <c r="T28" s="119"/>
      <c r="U28" s="73"/>
      <c r="V28" s="120" t="s">
        <v>453</v>
      </c>
      <c r="W28" s="119"/>
      <c r="X28" s="119"/>
      <c r="Y28" s="119"/>
      <c r="Z28" s="119"/>
      <c r="AA28" s="119"/>
      <c r="AB28" s="117"/>
      <c r="AC28" s="119"/>
      <c r="AD28" s="73"/>
      <c r="AE28" s="73"/>
      <c r="AF28" s="122" t="s">
        <v>460</v>
      </c>
      <c r="AK28" s="116" t="s">
        <v>465</v>
      </c>
    </row>
    <row r="29" ht="14.25" customHeight="1">
      <c r="A29" s="17" t="s">
        <v>27</v>
      </c>
      <c r="B29" s="19"/>
      <c r="C29" s="117" t="str">
        <f t="shared" si="9"/>
        <v>0</v>
      </c>
      <c r="D29" s="117"/>
      <c r="E29" s="118" t="s">
        <v>437</v>
      </c>
      <c r="F29" s="117"/>
      <c r="G29" s="117"/>
      <c r="H29" s="125" t="str">
        <f>B29*90</f>
        <v>0</v>
      </c>
      <c r="I29" s="117"/>
      <c r="J29" s="117"/>
      <c r="K29" s="117"/>
      <c r="L29" s="117"/>
      <c r="M29" s="117"/>
      <c r="N29" s="117"/>
      <c r="O29" s="117"/>
      <c r="P29" s="117"/>
      <c r="Q29" s="119"/>
      <c r="R29" s="120" t="s">
        <v>433</v>
      </c>
      <c r="S29" s="119"/>
      <c r="T29" s="119"/>
      <c r="U29" s="73"/>
      <c r="V29" s="120" t="s">
        <v>453</v>
      </c>
      <c r="W29" s="119"/>
      <c r="X29" s="119"/>
      <c r="Y29" s="119"/>
      <c r="Z29" s="119"/>
      <c r="AA29" s="119"/>
      <c r="AB29" s="117"/>
      <c r="AC29" s="119"/>
      <c r="AD29" s="73"/>
      <c r="AE29" s="73"/>
      <c r="AF29" s="122" t="s">
        <v>460</v>
      </c>
      <c r="AK29" s="116" t="s">
        <v>465</v>
      </c>
    </row>
    <row r="30" ht="14.25" customHeight="1">
      <c r="A30" s="18" t="s">
        <v>28</v>
      </c>
      <c r="B30" s="19">
        <v>3.0</v>
      </c>
      <c r="C30" s="117" t="str">
        <f>T30</f>
        <v>300</v>
      </c>
      <c r="D30" s="117"/>
      <c r="E30" s="118" t="s">
        <v>437</v>
      </c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9"/>
      <c r="R30" s="120" t="s">
        <v>433</v>
      </c>
      <c r="S30" s="119"/>
      <c r="T30" s="119" t="str">
        <f>B30*100</f>
        <v>300</v>
      </c>
      <c r="U30" s="73"/>
      <c r="V30" s="120" t="s">
        <v>453</v>
      </c>
      <c r="W30" s="119"/>
      <c r="X30" s="119"/>
      <c r="Y30" s="119"/>
      <c r="Z30" s="119"/>
      <c r="AA30" s="119"/>
      <c r="AB30" s="117"/>
      <c r="AC30" s="119"/>
      <c r="AD30" s="73"/>
      <c r="AE30" s="73"/>
      <c r="AF30" s="122" t="s">
        <v>460</v>
      </c>
      <c r="AK30" s="116" t="s">
        <v>465</v>
      </c>
    </row>
    <row r="31" ht="14.25" customHeight="1">
      <c r="A31" s="18" t="s">
        <v>29</v>
      </c>
      <c r="B31" s="19">
        <v>1.0</v>
      </c>
      <c r="C31" s="117" t="str">
        <f t="shared" ref="C31:C33" si="10">F31</f>
        <v>92</v>
      </c>
      <c r="D31" s="117"/>
      <c r="E31" s="118" t="s">
        <v>437</v>
      </c>
      <c r="F31" s="117" t="str">
        <f>B31*92</f>
        <v>92</v>
      </c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9"/>
      <c r="R31" s="120" t="s">
        <v>433</v>
      </c>
      <c r="S31" s="119"/>
      <c r="T31" s="119"/>
      <c r="U31" s="73"/>
      <c r="V31" s="120" t="s">
        <v>453</v>
      </c>
      <c r="W31" s="119"/>
      <c r="X31" s="119"/>
      <c r="Y31" s="119"/>
      <c r="Z31" s="119"/>
      <c r="AA31" s="119"/>
      <c r="AB31" s="117"/>
      <c r="AC31" s="119"/>
      <c r="AD31" s="73"/>
      <c r="AE31" s="73"/>
      <c r="AF31" s="122" t="s">
        <v>460</v>
      </c>
      <c r="AK31" s="116" t="s">
        <v>465</v>
      </c>
    </row>
    <row r="32" ht="14.25" customHeight="1">
      <c r="A32" s="18" t="s">
        <v>30</v>
      </c>
      <c r="B32" s="19"/>
      <c r="C32" s="117" t="str">
        <f t="shared" si="10"/>
        <v>0</v>
      </c>
      <c r="D32" s="117"/>
      <c r="E32" s="118" t="s">
        <v>437</v>
      </c>
      <c r="F32" s="117" t="str">
        <f>B32*100</f>
        <v>0</v>
      </c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9"/>
      <c r="R32" s="120" t="s">
        <v>433</v>
      </c>
      <c r="S32" s="119"/>
      <c r="T32" s="119"/>
      <c r="U32" s="73"/>
      <c r="V32" s="120" t="s">
        <v>453</v>
      </c>
      <c r="W32" s="119"/>
      <c r="X32" s="119"/>
      <c r="Y32" s="119"/>
      <c r="Z32" s="119"/>
      <c r="AA32" s="119"/>
      <c r="AB32" s="117"/>
      <c r="AC32" s="119"/>
      <c r="AD32" s="73"/>
      <c r="AE32" s="73"/>
      <c r="AF32" s="122" t="s">
        <v>460</v>
      </c>
      <c r="AK32" s="116" t="s">
        <v>465</v>
      </c>
    </row>
    <row r="33" ht="14.25" customHeight="1">
      <c r="A33" s="18" t="s">
        <v>31</v>
      </c>
      <c r="B33" s="19">
        <v>1.0</v>
      </c>
      <c r="C33" s="117" t="str">
        <f t="shared" si="10"/>
        <v>89</v>
      </c>
      <c r="D33" s="117"/>
      <c r="E33" s="118" t="s">
        <v>437</v>
      </c>
      <c r="F33" s="117" t="str">
        <f>B33*89</f>
        <v>89</v>
      </c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9"/>
      <c r="R33" s="120" t="s">
        <v>433</v>
      </c>
      <c r="S33" s="119"/>
      <c r="T33" s="119"/>
      <c r="U33" s="73"/>
      <c r="V33" s="120" t="s">
        <v>453</v>
      </c>
      <c r="W33" s="119"/>
      <c r="X33" s="119"/>
      <c r="Y33" s="119"/>
      <c r="Z33" s="119"/>
      <c r="AA33" s="119"/>
      <c r="AB33" s="117"/>
      <c r="AC33" s="119"/>
      <c r="AD33" s="73"/>
      <c r="AE33" s="73"/>
      <c r="AF33" s="122" t="s">
        <v>460</v>
      </c>
      <c r="AK33" s="116" t="s">
        <v>465</v>
      </c>
    </row>
    <row r="34" ht="14.25" customHeight="1">
      <c r="A34" s="18" t="s">
        <v>415</v>
      </c>
      <c r="B34" s="19"/>
      <c r="C34" s="117" t="str">
        <f t="shared" ref="C34:C35" si="11">G34</f>
        <v>0</v>
      </c>
      <c r="D34" s="117"/>
      <c r="E34" s="118" t="s">
        <v>437</v>
      </c>
      <c r="F34" s="117"/>
      <c r="G34" s="125" t="str">
        <f t="shared" ref="G34:G35" si="12">B34*106</f>
        <v>0</v>
      </c>
      <c r="H34" s="117"/>
      <c r="I34" s="117"/>
      <c r="J34" s="117"/>
      <c r="K34" s="117"/>
      <c r="L34" s="117"/>
      <c r="M34" s="117"/>
      <c r="N34" s="117"/>
      <c r="O34" s="117"/>
      <c r="P34" s="117"/>
      <c r="Q34" s="119"/>
      <c r="R34" s="120" t="s">
        <v>433</v>
      </c>
      <c r="S34" s="119"/>
      <c r="T34" s="119"/>
      <c r="U34" s="73"/>
      <c r="V34" s="120" t="s">
        <v>453</v>
      </c>
      <c r="W34" s="119"/>
      <c r="X34" s="119"/>
      <c r="Y34" s="119"/>
      <c r="Z34" s="119"/>
      <c r="AA34" s="119"/>
      <c r="AB34" s="117"/>
      <c r="AC34" s="119"/>
      <c r="AD34" s="73"/>
      <c r="AE34" s="73"/>
      <c r="AF34" s="122" t="s">
        <v>460</v>
      </c>
      <c r="AK34" s="116" t="s">
        <v>465</v>
      </c>
    </row>
    <row r="35" ht="14.25" customHeight="1">
      <c r="A35" s="17" t="s">
        <v>33</v>
      </c>
      <c r="B35" s="28">
        <v>1.0</v>
      </c>
      <c r="C35" s="117" t="str">
        <f t="shared" si="11"/>
        <v>106</v>
      </c>
      <c r="D35" s="117"/>
      <c r="E35" s="118" t="s">
        <v>437</v>
      </c>
      <c r="F35" s="117"/>
      <c r="G35" s="117" t="str">
        <f t="shared" si="12"/>
        <v>106</v>
      </c>
      <c r="H35" s="117"/>
      <c r="I35" s="117"/>
      <c r="J35" s="117"/>
      <c r="K35" s="117"/>
      <c r="L35" s="117"/>
      <c r="M35" s="117"/>
      <c r="N35" s="117"/>
      <c r="O35" s="117"/>
      <c r="P35" s="117"/>
      <c r="Q35" s="119"/>
      <c r="R35" s="120" t="s">
        <v>433</v>
      </c>
      <c r="S35" s="119"/>
      <c r="T35" s="119"/>
      <c r="U35" s="73"/>
      <c r="V35" s="120" t="s">
        <v>453</v>
      </c>
      <c r="W35" s="119"/>
      <c r="X35" s="119"/>
      <c r="Y35" s="119"/>
      <c r="Z35" s="119"/>
      <c r="AA35" s="119"/>
      <c r="AB35" s="117"/>
      <c r="AC35" s="119"/>
      <c r="AD35" s="73"/>
      <c r="AE35" s="73"/>
      <c r="AF35" s="122" t="s">
        <v>460</v>
      </c>
      <c r="AK35" s="116" t="s">
        <v>465</v>
      </c>
    </row>
    <row r="36" ht="14.25" customHeight="1">
      <c r="A36" s="18" t="s">
        <v>34</v>
      </c>
      <c r="B36" s="28">
        <v>1.0</v>
      </c>
      <c r="C36" s="117" t="str">
        <f>T36</f>
        <v>100</v>
      </c>
      <c r="D36" s="117"/>
      <c r="E36" s="118" t="s">
        <v>437</v>
      </c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9"/>
      <c r="R36" s="120" t="s">
        <v>433</v>
      </c>
      <c r="S36" s="119"/>
      <c r="T36" s="119" t="str">
        <f>B36*100</f>
        <v>100</v>
      </c>
      <c r="U36" s="73"/>
      <c r="V36" s="120" t="s">
        <v>453</v>
      </c>
      <c r="W36" s="119"/>
      <c r="X36" s="119"/>
      <c r="Y36" s="119"/>
      <c r="Z36" s="119"/>
      <c r="AA36" s="119"/>
      <c r="AB36" s="117"/>
      <c r="AC36" s="119"/>
      <c r="AD36" s="73"/>
      <c r="AE36" s="73"/>
      <c r="AF36" s="122" t="s">
        <v>460</v>
      </c>
      <c r="AK36" s="116" t="s">
        <v>465</v>
      </c>
    </row>
    <row r="37" ht="14.25" customHeight="1">
      <c r="A37" s="18" t="s">
        <v>35</v>
      </c>
      <c r="B37" s="28"/>
      <c r="C37" s="117" t="str">
        <f t="shared" ref="C37:C39" si="13">G37</f>
        <v>0</v>
      </c>
      <c r="D37" s="117"/>
      <c r="E37" s="118" t="s">
        <v>437</v>
      </c>
      <c r="F37" s="117"/>
      <c r="G37" s="125" t="str">
        <f>B37*94</f>
        <v>0</v>
      </c>
      <c r="H37" s="117"/>
      <c r="I37" s="117"/>
      <c r="J37" s="117"/>
      <c r="K37" s="117"/>
      <c r="L37" s="117"/>
      <c r="M37" s="117"/>
      <c r="N37" s="117"/>
      <c r="O37" s="117"/>
      <c r="P37" s="117"/>
      <c r="Q37" s="119"/>
      <c r="R37" s="120" t="s">
        <v>433</v>
      </c>
      <c r="S37" s="119"/>
      <c r="T37" s="119"/>
      <c r="U37" s="73"/>
      <c r="V37" s="120" t="s">
        <v>453</v>
      </c>
      <c r="W37" s="119"/>
      <c r="X37" s="119"/>
      <c r="Y37" s="119"/>
      <c r="Z37" s="119"/>
      <c r="AA37" s="119"/>
      <c r="AB37" s="117"/>
      <c r="AC37" s="119"/>
      <c r="AD37" s="73"/>
      <c r="AE37" s="73"/>
      <c r="AF37" s="122" t="s">
        <v>460</v>
      </c>
      <c r="AK37" s="116" t="s">
        <v>465</v>
      </c>
    </row>
    <row r="38" ht="14.25" customHeight="1">
      <c r="A38" s="18" t="s">
        <v>36</v>
      </c>
      <c r="B38" s="28"/>
      <c r="C38" s="117" t="str">
        <f t="shared" si="13"/>
        <v>0</v>
      </c>
      <c r="D38" s="117"/>
      <c r="E38" s="118" t="s">
        <v>437</v>
      </c>
      <c r="F38" s="117"/>
      <c r="G38" s="125" t="str">
        <f t="shared" ref="G38:G39" si="14">B38*77</f>
        <v>0</v>
      </c>
      <c r="H38" s="117"/>
      <c r="I38" s="117"/>
      <c r="J38" s="117"/>
      <c r="K38" s="117"/>
      <c r="L38" s="117"/>
      <c r="M38" s="117"/>
      <c r="N38" s="117"/>
      <c r="O38" s="117"/>
      <c r="P38" s="117"/>
      <c r="Q38" s="119"/>
      <c r="R38" s="120" t="s">
        <v>433</v>
      </c>
      <c r="S38" s="119"/>
      <c r="T38" s="119"/>
      <c r="U38" s="73"/>
      <c r="V38" s="120" t="s">
        <v>453</v>
      </c>
      <c r="W38" s="119"/>
      <c r="X38" s="119"/>
      <c r="Y38" s="119"/>
      <c r="Z38" s="119"/>
      <c r="AA38" s="119"/>
      <c r="AB38" s="117"/>
      <c r="AC38" s="119"/>
      <c r="AD38" s="73"/>
      <c r="AE38" s="73"/>
      <c r="AF38" s="122" t="s">
        <v>460</v>
      </c>
      <c r="AK38" s="116" t="s">
        <v>465</v>
      </c>
    </row>
    <row r="39" ht="14.25" customHeight="1">
      <c r="A39" s="18" t="s">
        <v>37</v>
      </c>
      <c r="B39" s="28"/>
      <c r="C39" s="117" t="str">
        <f t="shared" si="13"/>
        <v>0</v>
      </c>
      <c r="D39" s="117"/>
      <c r="E39" s="118" t="s">
        <v>437</v>
      </c>
      <c r="F39" s="117"/>
      <c r="G39" s="125" t="str">
        <f t="shared" si="14"/>
        <v>0</v>
      </c>
      <c r="H39" s="117"/>
      <c r="I39" s="117"/>
      <c r="J39" s="117"/>
      <c r="K39" s="117"/>
      <c r="L39" s="117"/>
      <c r="M39" s="117"/>
      <c r="N39" s="117"/>
      <c r="O39" s="117"/>
      <c r="P39" s="117"/>
      <c r="Q39" s="119"/>
      <c r="R39" s="120" t="s">
        <v>433</v>
      </c>
      <c r="S39" s="119"/>
      <c r="T39" s="119"/>
      <c r="U39" s="73"/>
      <c r="V39" s="120" t="s">
        <v>453</v>
      </c>
      <c r="W39" s="119"/>
      <c r="X39" s="119"/>
      <c r="Y39" s="119"/>
      <c r="Z39" s="119"/>
      <c r="AA39" s="119"/>
      <c r="AB39" s="117"/>
      <c r="AC39" s="119"/>
      <c r="AD39" s="73"/>
      <c r="AE39" s="73"/>
      <c r="AF39" s="122" t="s">
        <v>460</v>
      </c>
      <c r="AK39" s="116" t="s">
        <v>465</v>
      </c>
    </row>
    <row r="40" ht="14.25" customHeight="1">
      <c r="A40" s="124" t="s">
        <v>38</v>
      </c>
      <c r="B40" s="19">
        <v>1.0</v>
      </c>
      <c r="C40" s="117"/>
      <c r="D40" s="117"/>
      <c r="E40" s="118" t="s">
        <v>437</v>
      </c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9"/>
      <c r="R40" s="120" t="s">
        <v>433</v>
      </c>
      <c r="S40" s="119"/>
      <c r="T40" s="119"/>
      <c r="U40" s="73"/>
      <c r="V40" s="120" t="s">
        <v>453</v>
      </c>
      <c r="W40" s="119"/>
      <c r="X40" s="119"/>
      <c r="Y40" s="119"/>
      <c r="Z40" s="119"/>
      <c r="AA40" s="119"/>
      <c r="AB40" s="117"/>
      <c r="AC40" s="119"/>
      <c r="AD40" s="73"/>
      <c r="AE40" s="73"/>
      <c r="AF40" s="122" t="s">
        <v>460</v>
      </c>
      <c r="AK40" s="116" t="s">
        <v>465</v>
      </c>
    </row>
    <row r="41" ht="14.25" customHeight="1">
      <c r="A41" s="14" t="s">
        <v>39</v>
      </c>
      <c r="B41" s="19"/>
      <c r="C41" s="117"/>
      <c r="D41" s="117"/>
      <c r="E41" s="118" t="s">
        <v>437</v>
      </c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9"/>
      <c r="R41" s="120" t="s">
        <v>433</v>
      </c>
      <c r="S41" s="119"/>
      <c r="T41" s="119"/>
      <c r="U41" s="73"/>
      <c r="V41" s="120" t="s">
        <v>453</v>
      </c>
      <c r="W41" s="119"/>
      <c r="X41" s="119"/>
      <c r="Y41" s="119"/>
      <c r="Z41" s="119"/>
      <c r="AA41" s="119"/>
      <c r="AB41" s="117"/>
      <c r="AC41" s="119"/>
      <c r="AD41" s="73"/>
      <c r="AE41" s="73"/>
      <c r="AF41" s="122" t="s">
        <v>460</v>
      </c>
      <c r="AK41" s="116" t="s">
        <v>465</v>
      </c>
    </row>
    <row r="42" ht="14.25" customHeight="1">
      <c r="A42" s="124" t="s">
        <v>40</v>
      </c>
      <c r="B42" s="28"/>
      <c r="C42" s="117"/>
      <c r="D42" s="117"/>
      <c r="E42" s="118" t="s">
        <v>437</v>
      </c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9"/>
      <c r="R42" s="120" t="s">
        <v>433</v>
      </c>
      <c r="S42" s="119"/>
      <c r="T42" s="119"/>
      <c r="U42" s="73"/>
      <c r="V42" s="120" t="s">
        <v>453</v>
      </c>
      <c r="W42" s="119"/>
      <c r="X42" s="119"/>
      <c r="Y42" s="119"/>
      <c r="Z42" s="119"/>
      <c r="AA42" s="119"/>
      <c r="AB42" s="117"/>
      <c r="AC42" s="119"/>
      <c r="AD42" s="73"/>
      <c r="AE42" s="73"/>
      <c r="AF42" s="122" t="s">
        <v>460</v>
      </c>
      <c r="AK42" s="116" t="s">
        <v>465</v>
      </c>
    </row>
    <row r="43" ht="14.25" customHeight="1">
      <c r="A43" s="14" t="s">
        <v>41</v>
      </c>
      <c r="B43" s="28"/>
      <c r="C43" s="117"/>
      <c r="D43" s="117"/>
      <c r="E43" s="118" t="s">
        <v>437</v>
      </c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9"/>
      <c r="R43" s="120" t="s">
        <v>433</v>
      </c>
      <c r="S43" s="119"/>
      <c r="T43" s="119"/>
      <c r="U43" s="73"/>
      <c r="V43" s="120" t="s">
        <v>453</v>
      </c>
      <c r="W43" s="119"/>
      <c r="X43" s="119"/>
      <c r="Y43" s="119"/>
      <c r="Z43" s="119"/>
      <c r="AA43" s="119"/>
      <c r="AB43" s="117"/>
      <c r="AC43" s="119"/>
      <c r="AD43" s="73"/>
      <c r="AE43" s="73"/>
      <c r="AF43" s="122" t="s">
        <v>460</v>
      </c>
      <c r="AK43" s="116" t="s">
        <v>465</v>
      </c>
    </row>
    <row r="44" ht="14.25" customHeight="1">
      <c r="A44" s="14" t="s">
        <v>42</v>
      </c>
      <c r="B44" s="28"/>
      <c r="C44" s="117"/>
      <c r="D44" s="117"/>
      <c r="E44" s="118" t="s">
        <v>437</v>
      </c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9"/>
      <c r="R44" s="120" t="s">
        <v>433</v>
      </c>
      <c r="S44" s="119"/>
      <c r="T44" s="119"/>
      <c r="U44" s="73"/>
      <c r="V44" s="120" t="s">
        <v>453</v>
      </c>
      <c r="W44" s="119"/>
      <c r="X44" s="119"/>
      <c r="Y44" s="119"/>
      <c r="Z44" s="119"/>
      <c r="AA44" s="119"/>
      <c r="AB44" s="117"/>
      <c r="AC44" s="119"/>
      <c r="AD44" s="73"/>
      <c r="AE44" s="73"/>
      <c r="AF44" s="122" t="s">
        <v>460</v>
      </c>
      <c r="AK44" s="116" t="s">
        <v>465</v>
      </c>
    </row>
    <row r="45" ht="14.25" customHeight="1">
      <c r="A45" s="124" t="s">
        <v>43</v>
      </c>
      <c r="B45" s="18"/>
      <c r="C45" s="117"/>
      <c r="D45" s="117"/>
      <c r="E45" s="118" t="s">
        <v>437</v>
      </c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9"/>
      <c r="R45" s="120" t="s">
        <v>433</v>
      </c>
      <c r="S45" s="119"/>
      <c r="T45" s="119"/>
      <c r="U45" s="73"/>
      <c r="V45" s="120" t="s">
        <v>453</v>
      </c>
      <c r="W45" s="119"/>
      <c r="X45" s="119"/>
      <c r="Y45" s="119"/>
      <c r="Z45" s="119"/>
      <c r="AA45" s="119"/>
      <c r="AB45" s="117"/>
      <c r="AC45" s="119"/>
      <c r="AD45" s="73"/>
      <c r="AE45" s="73"/>
      <c r="AF45" s="122" t="s">
        <v>460</v>
      </c>
      <c r="AK45" s="116" t="s">
        <v>465</v>
      </c>
    </row>
    <row r="46" ht="14.25" customHeight="1">
      <c r="A46" s="22" t="s">
        <v>44</v>
      </c>
      <c r="B46" s="85"/>
      <c r="C46" s="117" t="str">
        <f t="shared" ref="C46:C48" si="15">J46+X46</f>
        <v>0</v>
      </c>
      <c r="D46" s="117"/>
      <c r="E46" s="118" t="s">
        <v>437</v>
      </c>
      <c r="F46" s="117"/>
      <c r="G46" s="117"/>
      <c r="H46" s="117"/>
      <c r="I46" s="117"/>
      <c r="J46" s="117" t="str">
        <f t="shared" ref="J46:J48" si="16">X46*2</f>
        <v>0</v>
      </c>
      <c r="K46" s="117"/>
      <c r="L46" s="117"/>
      <c r="M46" s="117"/>
      <c r="N46" s="117"/>
      <c r="O46" s="117"/>
      <c r="P46" s="117"/>
      <c r="Q46" s="119"/>
      <c r="R46" s="120" t="s">
        <v>433</v>
      </c>
      <c r="S46" s="119"/>
      <c r="T46" s="119"/>
      <c r="U46" s="73"/>
      <c r="V46" s="120" t="s">
        <v>453</v>
      </c>
      <c r="W46" s="119"/>
      <c r="X46" s="119" t="str">
        <f>B46*194</f>
        <v>0</v>
      </c>
      <c r="Y46" s="119"/>
      <c r="Z46" s="119"/>
      <c r="AA46" s="119"/>
      <c r="AB46" s="117"/>
      <c r="AC46" s="119"/>
      <c r="AD46" s="73"/>
      <c r="AE46" s="73"/>
      <c r="AF46" s="122" t="s">
        <v>460</v>
      </c>
      <c r="AK46" s="116" t="s">
        <v>465</v>
      </c>
    </row>
    <row r="47" ht="14.25" customHeight="1">
      <c r="A47" s="22" t="s">
        <v>45</v>
      </c>
      <c r="B47" s="85">
        <v>1.0</v>
      </c>
      <c r="C47" s="117" t="str">
        <f t="shared" si="15"/>
        <v>588</v>
      </c>
      <c r="D47" s="117"/>
      <c r="E47" s="118" t="s">
        <v>437</v>
      </c>
      <c r="F47" s="117"/>
      <c r="G47" s="117"/>
      <c r="H47" s="117"/>
      <c r="I47" s="117"/>
      <c r="J47" s="117" t="str">
        <f t="shared" si="16"/>
        <v>392</v>
      </c>
      <c r="K47" s="117"/>
      <c r="L47" s="117"/>
      <c r="M47" s="117"/>
      <c r="N47" s="117"/>
      <c r="O47" s="117"/>
      <c r="P47" s="117"/>
      <c r="Q47" s="119"/>
      <c r="R47" s="120" t="s">
        <v>433</v>
      </c>
      <c r="S47" s="119"/>
      <c r="T47" s="119"/>
      <c r="U47" s="73"/>
      <c r="V47" s="120" t="s">
        <v>453</v>
      </c>
      <c r="W47" s="119"/>
      <c r="X47" s="119" t="str">
        <f t="shared" ref="X47:X48" si="17">B47*196</f>
        <v>196</v>
      </c>
      <c r="Y47" s="119"/>
      <c r="Z47" s="119"/>
      <c r="AA47" s="119"/>
      <c r="AB47" s="117"/>
      <c r="AC47" s="119"/>
      <c r="AD47" s="73"/>
      <c r="AE47" s="73"/>
      <c r="AF47" s="122" t="s">
        <v>460</v>
      </c>
      <c r="AK47" s="116" t="s">
        <v>465</v>
      </c>
    </row>
    <row r="48" ht="14.25" customHeight="1">
      <c r="A48" s="23" t="s">
        <v>46</v>
      </c>
      <c r="B48" s="86"/>
      <c r="C48" s="117" t="str">
        <f t="shared" si="15"/>
        <v>0</v>
      </c>
      <c r="D48" s="117"/>
      <c r="E48" s="118" t="s">
        <v>437</v>
      </c>
      <c r="F48" s="117"/>
      <c r="G48" s="117"/>
      <c r="H48" s="117"/>
      <c r="I48" s="117"/>
      <c r="J48" s="117" t="str">
        <f t="shared" si="16"/>
        <v>0</v>
      </c>
      <c r="K48" s="117"/>
      <c r="L48" s="117"/>
      <c r="M48" s="117"/>
      <c r="N48" s="117"/>
      <c r="O48" s="117"/>
      <c r="P48" s="117"/>
      <c r="Q48" s="119"/>
      <c r="R48" s="120" t="s">
        <v>433</v>
      </c>
      <c r="S48" s="119"/>
      <c r="T48" s="119"/>
      <c r="U48" s="73"/>
      <c r="V48" s="120" t="s">
        <v>453</v>
      </c>
      <c r="W48" s="119"/>
      <c r="X48" s="119" t="str">
        <f t="shared" si="17"/>
        <v>0</v>
      </c>
      <c r="Y48" s="119"/>
      <c r="Z48" s="119"/>
      <c r="AA48" s="119"/>
      <c r="AB48" s="117"/>
      <c r="AC48" s="119"/>
      <c r="AD48" s="73"/>
      <c r="AE48" s="73"/>
      <c r="AF48" s="122" t="s">
        <v>460</v>
      </c>
      <c r="AK48" s="116" t="s">
        <v>465</v>
      </c>
    </row>
    <row r="49" ht="14.25" customHeight="1">
      <c r="A49" s="87" t="s">
        <v>417</v>
      </c>
      <c r="B49" s="86"/>
      <c r="C49" s="117" t="str">
        <f>N49+AB49</f>
        <v>0</v>
      </c>
      <c r="D49" s="117"/>
      <c r="E49" s="118" t="s">
        <v>437</v>
      </c>
      <c r="F49" s="117"/>
      <c r="G49" s="117"/>
      <c r="H49" s="117"/>
      <c r="I49" s="117"/>
      <c r="J49" s="117"/>
      <c r="K49" s="117"/>
      <c r="L49" s="117"/>
      <c r="M49" s="117"/>
      <c r="N49" s="117" t="str">
        <f>AB49*12</f>
        <v>0</v>
      </c>
      <c r="O49" s="117"/>
      <c r="P49" s="117"/>
      <c r="Q49" s="119"/>
      <c r="R49" s="120" t="s">
        <v>433</v>
      </c>
      <c r="S49" s="119"/>
      <c r="T49" s="119"/>
      <c r="U49" s="73"/>
      <c r="V49" s="120" t="s">
        <v>453</v>
      </c>
      <c r="W49" s="119"/>
      <c r="X49" s="119"/>
      <c r="Y49" s="119"/>
      <c r="Z49" s="119"/>
      <c r="AA49" s="119"/>
      <c r="AB49" s="117" t="str">
        <f>B49*158</f>
        <v>0</v>
      </c>
      <c r="AC49" s="119"/>
      <c r="AD49" s="73"/>
      <c r="AE49" s="73"/>
      <c r="AF49" s="122" t="s">
        <v>460</v>
      </c>
      <c r="AK49" s="116" t="s">
        <v>465</v>
      </c>
    </row>
    <row r="50" ht="14.25" customHeight="1">
      <c r="A50" s="23" t="s">
        <v>418</v>
      </c>
      <c r="B50" s="86"/>
      <c r="C50" s="117" t="str">
        <f t="shared" ref="C50:C51" si="18">I50+W50</f>
        <v>0</v>
      </c>
      <c r="D50" s="117"/>
      <c r="E50" s="118" t="s">
        <v>437</v>
      </c>
      <c r="F50" s="117"/>
      <c r="G50" s="117"/>
      <c r="H50" s="117"/>
      <c r="I50" s="117" t="str">
        <f t="shared" ref="I50:I51" si="19">W50*4</f>
        <v>0</v>
      </c>
      <c r="J50" s="117"/>
      <c r="K50" s="117"/>
      <c r="L50" s="117"/>
      <c r="M50" s="117"/>
      <c r="N50" s="117"/>
      <c r="O50" s="117"/>
      <c r="P50" s="117"/>
      <c r="Q50" s="119"/>
      <c r="R50" s="120" t="s">
        <v>433</v>
      </c>
      <c r="S50" s="119"/>
      <c r="T50" s="119"/>
      <c r="U50" s="73"/>
      <c r="V50" s="120" t="s">
        <v>453</v>
      </c>
      <c r="W50" s="119" t="str">
        <f t="shared" ref="W50:W51" si="20">B50*98</f>
        <v>0</v>
      </c>
      <c r="X50" s="119"/>
      <c r="Y50" s="119"/>
      <c r="Z50" s="119"/>
      <c r="AA50" s="119"/>
      <c r="AB50" s="117"/>
      <c r="AC50" s="119"/>
      <c r="AD50" s="73"/>
      <c r="AE50" s="73"/>
      <c r="AF50" s="122" t="s">
        <v>460</v>
      </c>
      <c r="AK50" s="116" t="s">
        <v>465</v>
      </c>
    </row>
    <row r="51" ht="14.25" customHeight="1">
      <c r="A51" s="22" t="s">
        <v>49</v>
      </c>
      <c r="B51" s="86">
        <v>0.5</v>
      </c>
      <c r="C51" s="117" t="str">
        <f t="shared" si="18"/>
        <v>245</v>
      </c>
      <c r="D51" s="117"/>
      <c r="E51" s="118" t="s">
        <v>437</v>
      </c>
      <c r="F51" s="117"/>
      <c r="G51" s="117"/>
      <c r="H51" s="117"/>
      <c r="I51" s="117" t="str">
        <f t="shared" si="19"/>
        <v>196</v>
      </c>
      <c r="J51" s="117"/>
      <c r="K51" s="117"/>
      <c r="L51" s="117"/>
      <c r="M51" s="117"/>
      <c r="N51" s="117"/>
      <c r="O51" s="117"/>
      <c r="P51" s="117"/>
      <c r="Q51" s="119"/>
      <c r="R51" s="120" t="s">
        <v>433</v>
      </c>
      <c r="S51" s="119"/>
      <c r="T51" s="119"/>
      <c r="U51" s="73"/>
      <c r="V51" s="120" t="s">
        <v>453</v>
      </c>
      <c r="W51" s="119" t="str">
        <f t="shared" si="20"/>
        <v>49</v>
      </c>
      <c r="X51" s="119"/>
      <c r="Y51" s="119"/>
      <c r="Z51" s="119"/>
      <c r="AA51" s="119"/>
      <c r="AB51" s="117"/>
      <c r="AC51" s="119"/>
      <c r="AD51" s="73"/>
      <c r="AE51" s="73"/>
      <c r="AF51" s="122" t="s">
        <v>460</v>
      </c>
      <c r="AK51" s="116" t="s">
        <v>465</v>
      </c>
    </row>
    <row r="52" ht="14.25" customHeight="1">
      <c r="A52" s="14" t="s">
        <v>50</v>
      </c>
      <c r="B52" s="85">
        <v>1.0</v>
      </c>
      <c r="C52" s="117"/>
      <c r="D52" s="117"/>
      <c r="E52" s="118" t="s">
        <v>437</v>
      </c>
      <c r="F52" s="117"/>
      <c r="G52" s="117"/>
      <c r="H52" s="117"/>
      <c r="I52" s="117"/>
      <c r="J52" s="117" t="str">
        <f t="shared" ref="J52:J54" si="21">X52*2</f>
        <v>388</v>
      </c>
      <c r="K52" s="117"/>
      <c r="L52" s="117"/>
      <c r="M52" s="117"/>
      <c r="N52" s="117"/>
      <c r="O52" s="117"/>
      <c r="P52" s="117"/>
      <c r="Q52" s="119"/>
      <c r="R52" s="120" t="s">
        <v>433</v>
      </c>
      <c r="S52" s="119"/>
      <c r="T52" s="119"/>
      <c r="U52" s="73"/>
      <c r="V52" s="120" t="s">
        <v>453</v>
      </c>
      <c r="W52" s="119"/>
      <c r="X52" s="119" t="str">
        <f t="shared" ref="X52:X53" si="22">B52*194</f>
        <v>194</v>
      </c>
      <c r="Y52" s="119"/>
      <c r="Z52" s="119"/>
      <c r="AA52" s="119"/>
      <c r="AB52" s="117"/>
      <c r="AC52" s="119"/>
      <c r="AD52" s="73"/>
      <c r="AE52" s="73"/>
      <c r="AF52" s="122" t="s">
        <v>460</v>
      </c>
      <c r="AK52" s="116" t="s">
        <v>465</v>
      </c>
    </row>
    <row r="53" ht="14.25" customHeight="1">
      <c r="A53" s="23" t="s">
        <v>51</v>
      </c>
      <c r="B53" s="85"/>
      <c r="C53" s="117" t="str">
        <f t="shared" ref="C53:C54" si="23">J53+X53</f>
        <v>0</v>
      </c>
      <c r="D53" s="117"/>
      <c r="E53" s="118" t="s">
        <v>437</v>
      </c>
      <c r="F53" s="117"/>
      <c r="G53" s="117"/>
      <c r="H53" s="117"/>
      <c r="I53" s="117"/>
      <c r="J53" s="117" t="str">
        <f t="shared" si="21"/>
        <v>0</v>
      </c>
      <c r="K53" s="117"/>
      <c r="L53" s="117"/>
      <c r="M53" s="117"/>
      <c r="N53" s="117"/>
      <c r="O53" s="117"/>
      <c r="P53" s="117"/>
      <c r="Q53" s="119"/>
      <c r="R53" s="120" t="s">
        <v>433</v>
      </c>
      <c r="S53" s="119"/>
      <c r="T53" s="119"/>
      <c r="U53" s="73"/>
      <c r="V53" s="120" t="s">
        <v>453</v>
      </c>
      <c r="W53" s="119"/>
      <c r="X53" s="119" t="str">
        <f t="shared" si="22"/>
        <v>0</v>
      </c>
      <c r="Y53" s="119"/>
      <c r="Z53" s="119"/>
      <c r="AA53" s="119"/>
      <c r="AB53" s="117"/>
      <c r="AC53" s="119"/>
      <c r="AD53" s="73"/>
      <c r="AE53" s="73"/>
      <c r="AF53" s="122" t="s">
        <v>460</v>
      </c>
      <c r="AK53" s="116" t="s">
        <v>465</v>
      </c>
    </row>
    <row r="54" ht="14.25" customHeight="1">
      <c r="A54" s="22" t="s">
        <v>52</v>
      </c>
      <c r="B54" s="85"/>
      <c r="C54" s="117" t="str">
        <f t="shared" si="23"/>
        <v>0</v>
      </c>
      <c r="D54" s="117"/>
      <c r="E54" s="118" t="s">
        <v>437</v>
      </c>
      <c r="F54" s="117"/>
      <c r="G54" s="117"/>
      <c r="H54" s="117"/>
      <c r="I54" s="117"/>
      <c r="J54" s="117" t="str">
        <f t="shared" si="21"/>
        <v>0</v>
      </c>
      <c r="K54" s="117"/>
      <c r="L54" s="117"/>
      <c r="M54" s="117"/>
      <c r="N54" s="117"/>
      <c r="O54" s="117"/>
      <c r="P54" s="117"/>
      <c r="Q54" s="119"/>
      <c r="R54" s="120" t="s">
        <v>433</v>
      </c>
      <c r="S54" s="119"/>
      <c r="T54" s="119"/>
      <c r="U54" s="73"/>
      <c r="V54" s="120" t="s">
        <v>453</v>
      </c>
      <c r="W54" s="119"/>
      <c r="X54" s="119" t="str">
        <f>B54*196</f>
        <v>0</v>
      </c>
      <c r="Y54" s="119"/>
      <c r="Z54" s="119"/>
      <c r="AA54" s="119"/>
      <c r="AB54" s="117"/>
      <c r="AC54" s="119"/>
      <c r="AD54" s="73"/>
      <c r="AE54" s="73"/>
      <c r="AF54" s="122" t="s">
        <v>460</v>
      </c>
      <c r="AK54" s="116" t="s">
        <v>465</v>
      </c>
    </row>
    <row r="55" ht="14.25" customHeight="1">
      <c r="A55" s="124" t="s">
        <v>53</v>
      </c>
      <c r="B55" s="86"/>
      <c r="C55" s="117"/>
      <c r="D55" s="117"/>
      <c r="E55" s="118" t="s">
        <v>437</v>
      </c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9"/>
      <c r="R55" s="120" t="s">
        <v>433</v>
      </c>
      <c r="S55" s="119"/>
      <c r="T55" s="119"/>
      <c r="U55" s="73"/>
      <c r="V55" s="120" t="s">
        <v>453</v>
      </c>
      <c r="W55" s="119"/>
      <c r="X55" s="119"/>
      <c r="Y55" s="119"/>
      <c r="Z55" s="119"/>
      <c r="AA55" s="119"/>
      <c r="AB55" s="117"/>
      <c r="AC55" s="119"/>
      <c r="AD55" s="73"/>
      <c r="AE55" s="73"/>
      <c r="AF55" s="122" t="s">
        <v>460</v>
      </c>
      <c r="AK55" s="116" t="s">
        <v>465</v>
      </c>
    </row>
    <row r="56" ht="14.25" customHeight="1">
      <c r="A56" s="124" t="s">
        <v>419</v>
      </c>
      <c r="B56" s="85"/>
      <c r="C56" s="117"/>
      <c r="D56" s="117"/>
      <c r="E56" s="118" t="s">
        <v>437</v>
      </c>
      <c r="F56" s="117"/>
      <c r="G56" s="117"/>
      <c r="H56" s="117"/>
      <c r="I56" s="117"/>
      <c r="J56" s="117"/>
      <c r="K56" s="117"/>
      <c r="L56" s="117"/>
      <c r="M56" s="117"/>
      <c r="N56" s="117" t="str">
        <f>AB56*12</f>
        <v>0</v>
      </c>
      <c r="O56" s="117"/>
      <c r="P56" s="117"/>
      <c r="Q56" s="119"/>
      <c r="R56" s="120" t="s">
        <v>433</v>
      </c>
      <c r="S56" s="119"/>
      <c r="T56" s="119"/>
      <c r="U56" s="73"/>
      <c r="V56" s="120" t="s">
        <v>453</v>
      </c>
      <c r="W56" s="119"/>
      <c r="X56" s="119"/>
      <c r="Y56" s="119"/>
      <c r="Z56" s="119"/>
      <c r="AA56" s="119"/>
      <c r="AB56" s="117" t="str">
        <f>B56*158</f>
        <v>0</v>
      </c>
      <c r="AC56" s="119"/>
      <c r="AD56" s="73"/>
      <c r="AE56" s="73"/>
      <c r="AF56" s="122" t="s">
        <v>460</v>
      </c>
      <c r="AK56" s="116" t="s">
        <v>465</v>
      </c>
    </row>
    <row r="57" ht="14.25" customHeight="1">
      <c r="A57" s="124" t="s">
        <v>420</v>
      </c>
      <c r="B57" s="86"/>
      <c r="C57" s="117"/>
      <c r="D57" s="117"/>
      <c r="E57" s="118" t="s">
        <v>437</v>
      </c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9"/>
      <c r="R57" s="120" t="s">
        <v>433</v>
      </c>
      <c r="S57" s="119"/>
      <c r="T57" s="119"/>
      <c r="U57" s="73"/>
      <c r="V57" s="120" t="s">
        <v>453</v>
      </c>
      <c r="W57" s="119"/>
      <c r="X57" s="119"/>
      <c r="Y57" s="119"/>
      <c r="Z57" s="119"/>
      <c r="AA57" s="119"/>
      <c r="AB57" s="117"/>
      <c r="AC57" s="119"/>
      <c r="AD57" s="73"/>
      <c r="AE57" s="73"/>
      <c r="AF57" s="122" t="s">
        <v>460</v>
      </c>
      <c r="AK57" s="116" t="s">
        <v>465</v>
      </c>
    </row>
    <row r="58" ht="14.25" customHeight="1">
      <c r="A58" s="14" t="s">
        <v>56</v>
      </c>
      <c r="B58" s="85"/>
      <c r="C58" s="117"/>
      <c r="D58" s="117"/>
      <c r="E58" s="118" t="s">
        <v>437</v>
      </c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9"/>
      <c r="R58" s="120" t="s">
        <v>433</v>
      </c>
      <c r="S58" s="119"/>
      <c r="T58" s="119"/>
      <c r="U58" s="73"/>
      <c r="V58" s="120" t="s">
        <v>453</v>
      </c>
      <c r="W58" s="119"/>
      <c r="X58" s="119"/>
      <c r="Y58" s="119"/>
      <c r="Z58" s="119"/>
      <c r="AA58" s="119"/>
      <c r="AB58" s="117"/>
      <c r="AC58" s="119"/>
      <c r="AD58" s="73"/>
      <c r="AE58" s="73"/>
      <c r="AF58" s="122" t="s">
        <v>460</v>
      </c>
      <c r="AK58" s="116" t="s">
        <v>465</v>
      </c>
    </row>
    <row r="59" ht="14.25" customHeight="1">
      <c r="A59" s="14" t="s">
        <v>57</v>
      </c>
      <c r="B59" s="22"/>
      <c r="C59" s="117"/>
      <c r="D59" s="117"/>
      <c r="E59" s="118" t="s">
        <v>437</v>
      </c>
      <c r="F59" s="117"/>
      <c r="G59" s="117"/>
      <c r="H59" s="117"/>
      <c r="I59" s="117"/>
      <c r="J59" s="117" t="str">
        <f t="shared" ref="J59:J62" si="24">X59*2</f>
        <v>0</v>
      </c>
      <c r="K59" s="117"/>
      <c r="L59" s="117"/>
      <c r="M59" s="117"/>
      <c r="N59" s="117"/>
      <c r="O59" s="117"/>
      <c r="P59" s="117"/>
      <c r="Q59" s="119"/>
      <c r="R59" s="120" t="s">
        <v>433</v>
      </c>
      <c r="S59" s="119"/>
      <c r="T59" s="119"/>
      <c r="U59" s="73"/>
      <c r="V59" s="120" t="s">
        <v>453</v>
      </c>
      <c r="W59" s="119"/>
      <c r="X59" s="119" t="str">
        <f t="shared" ref="X59:X62" si="25">B59*227</f>
        <v>0</v>
      </c>
      <c r="Y59" s="119"/>
      <c r="Z59" s="119"/>
      <c r="AA59" s="119"/>
      <c r="AB59" s="117"/>
      <c r="AC59" s="119"/>
      <c r="AD59" s="73"/>
      <c r="AE59" s="73"/>
      <c r="AF59" s="122" t="s">
        <v>460</v>
      </c>
      <c r="AK59" s="116" t="s">
        <v>465</v>
      </c>
    </row>
    <row r="60" ht="14.25" customHeight="1">
      <c r="A60" s="16" t="s">
        <v>58</v>
      </c>
      <c r="B60" s="74"/>
      <c r="C60" s="117" t="str">
        <f t="shared" ref="C60:C62" si="26">J60+X60</f>
        <v>0</v>
      </c>
      <c r="D60" s="117"/>
      <c r="E60" s="118" t="s">
        <v>437</v>
      </c>
      <c r="F60" s="117"/>
      <c r="G60" s="117"/>
      <c r="H60" s="117"/>
      <c r="I60" s="117"/>
      <c r="J60" s="117" t="str">
        <f t="shared" si="24"/>
        <v>0</v>
      </c>
      <c r="K60" s="117"/>
      <c r="L60" s="117"/>
      <c r="M60" s="117"/>
      <c r="N60" s="117"/>
      <c r="O60" s="117"/>
      <c r="P60" s="117"/>
      <c r="Q60" s="119"/>
      <c r="R60" s="120" t="s">
        <v>433</v>
      </c>
      <c r="S60" s="119"/>
      <c r="T60" s="119"/>
      <c r="U60" s="73"/>
      <c r="V60" s="120" t="s">
        <v>453</v>
      </c>
      <c r="W60" s="119"/>
      <c r="X60" s="119" t="str">
        <f t="shared" si="25"/>
        <v>0</v>
      </c>
      <c r="Y60" s="119"/>
      <c r="Z60" s="119"/>
      <c r="AA60" s="119"/>
      <c r="AB60" s="117"/>
      <c r="AC60" s="119"/>
      <c r="AD60" s="73"/>
      <c r="AE60" s="73"/>
      <c r="AF60" s="122" t="s">
        <v>460</v>
      </c>
      <c r="AK60" s="116" t="s">
        <v>465</v>
      </c>
    </row>
    <row r="61" ht="14.25" customHeight="1">
      <c r="A61" s="15" t="s">
        <v>59</v>
      </c>
      <c r="B61" s="74"/>
      <c r="C61" s="117" t="str">
        <f t="shared" si="26"/>
        <v>0</v>
      </c>
      <c r="D61" s="117"/>
      <c r="E61" s="118" t="s">
        <v>437</v>
      </c>
      <c r="F61" s="117"/>
      <c r="G61" s="117"/>
      <c r="H61" s="117"/>
      <c r="I61" s="117"/>
      <c r="J61" s="117" t="str">
        <f t="shared" si="24"/>
        <v>0</v>
      </c>
      <c r="K61" s="117"/>
      <c r="L61" s="117"/>
      <c r="M61" s="117"/>
      <c r="N61" s="117"/>
      <c r="O61" s="117"/>
      <c r="P61" s="117"/>
      <c r="Q61" s="119"/>
      <c r="R61" s="120" t="s">
        <v>433</v>
      </c>
      <c r="S61" s="119"/>
      <c r="T61" s="119"/>
      <c r="U61" s="73"/>
      <c r="V61" s="120" t="s">
        <v>453</v>
      </c>
      <c r="W61" s="119"/>
      <c r="X61" s="119" t="str">
        <f t="shared" si="25"/>
        <v>0</v>
      </c>
      <c r="Y61" s="119"/>
      <c r="Z61" s="119"/>
      <c r="AA61" s="119"/>
      <c r="AB61" s="117"/>
      <c r="AC61" s="119"/>
      <c r="AD61" s="73"/>
      <c r="AE61" s="73"/>
      <c r="AF61" s="122" t="s">
        <v>460</v>
      </c>
      <c r="AK61" s="116" t="s">
        <v>465</v>
      </c>
    </row>
    <row r="62" ht="14.25" customHeight="1">
      <c r="A62" s="15" t="s">
        <v>421</v>
      </c>
      <c r="B62" s="15">
        <v>1.0</v>
      </c>
      <c r="C62" s="117" t="str">
        <f t="shared" si="26"/>
        <v>681</v>
      </c>
      <c r="D62" s="117"/>
      <c r="E62" s="118" t="s">
        <v>437</v>
      </c>
      <c r="F62" s="117"/>
      <c r="G62" s="117"/>
      <c r="H62" s="117"/>
      <c r="I62" s="117"/>
      <c r="J62" s="117" t="str">
        <f t="shared" si="24"/>
        <v>454</v>
      </c>
      <c r="K62" s="117"/>
      <c r="L62" s="117"/>
      <c r="M62" s="125"/>
      <c r="N62" s="117"/>
      <c r="O62" s="117"/>
      <c r="P62" s="117"/>
      <c r="Q62" s="119"/>
      <c r="R62" s="120" t="s">
        <v>433</v>
      </c>
      <c r="S62" s="119"/>
      <c r="T62" s="119"/>
      <c r="U62" s="73"/>
      <c r="V62" s="120" t="s">
        <v>453</v>
      </c>
      <c r="W62" s="119"/>
      <c r="X62" s="119" t="str">
        <f t="shared" si="25"/>
        <v>227</v>
      </c>
      <c r="Y62" s="119"/>
      <c r="Z62" s="119"/>
      <c r="AA62" s="119"/>
      <c r="AB62" s="117"/>
      <c r="AC62" s="119"/>
      <c r="AD62" s="73"/>
      <c r="AE62" s="73"/>
      <c r="AF62" s="122" t="s">
        <v>460</v>
      </c>
      <c r="AK62" s="116" t="s">
        <v>465</v>
      </c>
    </row>
    <row r="63" ht="14.25" customHeight="1">
      <c r="A63" s="24" t="s">
        <v>61</v>
      </c>
      <c r="B63" s="88"/>
      <c r="C63" s="117" t="str">
        <f>L63+AA63</f>
        <v>0</v>
      </c>
      <c r="D63" s="117" t="str">
        <f>L63</f>
        <v>0</v>
      </c>
      <c r="E63" s="118" t="s">
        <v>437</v>
      </c>
      <c r="F63" s="117"/>
      <c r="G63" s="117"/>
      <c r="H63" s="117"/>
      <c r="I63" s="117"/>
      <c r="J63" s="117"/>
      <c r="K63" s="117"/>
      <c r="L63" s="117" t="str">
        <f>AA63*6</f>
        <v>0</v>
      </c>
      <c r="M63" s="117"/>
      <c r="N63" s="117"/>
      <c r="O63" s="117"/>
      <c r="P63" s="117"/>
      <c r="Q63" s="119"/>
      <c r="R63" s="120" t="s">
        <v>433</v>
      </c>
      <c r="S63" s="119"/>
      <c r="T63" s="119"/>
      <c r="U63" s="73"/>
      <c r="V63" s="120" t="s">
        <v>453</v>
      </c>
      <c r="W63" s="119"/>
      <c r="X63" s="119"/>
      <c r="Y63" s="119"/>
      <c r="Z63" s="119"/>
      <c r="AA63" s="119" t="str">
        <f>B63*444</f>
        <v>0</v>
      </c>
      <c r="AB63" s="117"/>
      <c r="AC63" s="119"/>
      <c r="AD63" s="73"/>
      <c r="AE63" s="73"/>
      <c r="AF63" s="122" t="s">
        <v>460</v>
      </c>
      <c r="AK63" s="116" t="s">
        <v>465</v>
      </c>
    </row>
    <row r="64" ht="14.25" customHeight="1">
      <c r="A64" s="24" t="s">
        <v>62</v>
      </c>
      <c r="B64" s="88"/>
      <c r="C64" s="117"/>
      <c r="D64" s="117"/>
      <c r="E64" s="118" t="s">
        <v>437</v>
      </c>
      <c r="F64" s="117"/>
      <c r="G64" s="117"/>
      <c r="H64" s="117"/>
      <c r="I64" s="117"/>
      <c r="J64" s="117" t="str">
        <f>X64*2</f>
        <v>0</v>
      </c>
      <c r="K64" s="117"/>
      <c r="L64" s="117"/>
      <c r="M64" s="117"/>
      <c r="N64" s="117"/>
      <c r="O64" s="117"/>
      <c r="P64" s="117"/>
      <c r="Q64" s="119"/>
      <c r="R64" s="120" t="s">
        <v>433</v>
      </c>
      <c r="S64" s="119"/>
      <c r="T64" s="119"/>
      <c r="U64" s="73"/>
      <c r="V64" s="120" t="s">
        <v>453</v>
      </c>
      <c r="W64" s="119"/>
      <c r="X64" s="119" t="str">
        <f>B64*176</f>
        <v>0</v>
      </c>
      <c r="Y64" s="119"/>
      <c r="Z64" s="119"/>
      <c r="AA64" s="119"/>
      <c r="AB64" s="117"/>
      <c r="AC64" s="119"/>
      <c r="AD64" s="73"/>
      <c r="AE64" s="73"/>
      <c r="AF64" s="122" t="s">
        <v>460</v>
      </c>
      <c r="AK64" s="116" t="s">
        <v>465</v>
      </c>
    </row>
    <row r="65" ht="14.25" customHeight="1">
      <c r="A65" s="24" t="s">
        <v>63</v>
      </c>
      <c r="B65" s="88"/>
      <c r="C65" s="117" t="str">
        <f>L65+AA65</f>
        <v>0</v>
      </c>
      <c r="D65" s="117" t="str">
        <f>L65</f>
        <v>0</v>
      </c>
      <c r="E65" s="118" t="s">
        <v>437</v>
      </c>
      <c r="F65" s="117"/>
      <c r="G65" s="117"/>
      <c r="H65" s="117"/>
      <c r="I65" s="117"/>
      <c r="J65" s="117"/>
      <c r="K65" s="117"/>
      <c r="L65" s="117" t="str">
        <f>AA65*6</f>
        <v>0</v>
      </c>
      <c r="M65" s="117"/>
      <c r="N65" s="117"/>
      <c r="O65" s="117"/>
      <c r="P65" s="117"/>
      <c r="Q65" s="119"/>
      <c r="R65" s="120" t="s">
        <v>433</v>
      </c>
      <c r="S65" s="119"/>
      <c r="T65" s="119"/>
      <c r="U65" s="73"/>
      <c r="V65" s="120" t="s">
        <v>453</v>
      </c>
      <c r="W65" s="119"/>
      <c r="X65" s="119"/>
      <c r="Y65" s="119"/>
      <c r="Z65" s="119"/>
      <c r="AA65" s="119" t="str">
        <f>B65*444</f>
        <v>0</v>
      </c>
      <c r="AB65" s="117"/>
      <c r="AC65" s="119"/>
      <c r="AD65" s="73"/>
      <c r="AE65" s="73"/>
      <c r="AF65" s="122" t="s">
        <v>460</v>
      </c>
      <c r="AK65" s="116" t="s">
        <v>465</v>
      </c>
    </row>
    <row r="66" ht="14.25" customHeight="1">
      <c r="A66" s="24" t="s">
        <v>64</v>
      </c>
      <c r="B66" s="89"/>
      <c r="C66" s="117" t="str">
        <f>J66+X66</f>
        <v>0</v>
      </c>
      <c r="D66" s="117"/>
      <c r="E66" s="118" t="s">
        <v>437</v>
      </c>
      <c r="F66" s="117"/>
      <c r="G66" s="117"/>
      <c r="H66" s="117"/>
      <c r="I66" s="117"/>
      <c r="J66" s="117" t="str">
        <f>X66*2</f>
        <v>0</v>
      </c>
      <c r="K66" s="117"/>
      <c r="L66" s="117"/>
      <c r="M66" s="117"/>
      <c r="N66" s="117"/>
      <c r="O66" s="117"/>
      <c r="P66" s="117"/>
      <c r="Q66" s="119"/>
      <c r="R66" s="120" t="s">
        <v>433</v>
      </c>
      <c r="S66" s="119"/>
      <c r="T66" s="119"/>
      <c r="U66" s="73"/>
      <c r="V66" s="120" t="s">
        <v>453</v>
      </c>
      <c r="W66" s="119"/>
      <c r="X66" s="119" t="str">
        <f>B66*197</f>
        <v>0</v>
      </c>
      <c r="Y66" s="119"/>
      <c r="Z66" s="119"/>
      <c r="AA66" s="119"/>
      <c r="AB66" s="117"/>
      <c r="AC66" s="119"/>
      <c r="AD66" s="73"/>
      <c r="AE66" s="73"/>
      <c r="AF66" s="122" t="s">
        <v>460</v>
      </c>
      <c r="AK66" s="116" t="s">
        <v>465</v>
      </c>
    </row>
    <row r="67" ht="14.25" customHeight="1">
      <c r="A67" s="25" t="s">
        <v>65</v>
      </c>
      <c r="B67" s="88"/>
      <c r="C67" s="117" t="str">
        <f>L67+AA67</f>
        <v>0</v>
      </c>
      <c r="D67" s="117" t="str">
        <f t="shared" ref="D67:D70" si="27">L67</f>
        <v>0</v>
      </c>
      <c r="E67" s="118" t="s">
        <v>437</v>
      </c>
      <c r="F67" s="117"/>
      <c r="G67" s="117"/>
      <c r="H67" s="117"/>
      <c r="I67" s="117"/>
      <c r="J67" s="117"/>
      <c r="K67" s="117"/>
      <c r="L67" s="117" t="str">
        <f>AA67*6</f>
        <v>0</v>
      </c>
      <c r="M67" s="117"/>
      <c r="N67" s="117"/>
      <c r="O67" s="117"/>
      <c r="P67" s="117"/>
      <c r="Q67" s="119"/>
      <c r="R67" s="120" t="s">
        <v>433</v>
      </c>
      <c r="S67" s="119"/>
      <c r="T67" s="119"/>
      <c r="U67" s="73"/>
      <c r="V67" s="120" t="s">
        <v>453</v>
      </c>
      <c r="W67" s="119"/>
      <c r="X67" s="119"/>
      <c r="Y67" s="119"/>
      <c r="Z67" s="119"/>
      <c r="AA67" s="119" t="str">
        <f>B67*448</f>
        <v>0</v>
      </c>
      <c r="AB67" s="117"/>
      <c r="AC67" s="119"/>
      <c r="AD67" s="73"/>
      <c r="AE67" s="73"/>
      <c r="AF67" s="122" t="s">
        <v>460</v>
      </c>
      <c r="AK67" s="116" t="s">
        <v>465</v>
      </c>
      <c r="AO67" t="str">
        <f>AA67*2</f>
        <v>0</v>
      </c>
    </row>
    <row r="68" ht="14.25" customHeight="1">
      <c r="A68" s="24" t="s">
        <v>66</v>
      </c>
      <c r="B68" s="88">
        <v>0.5</v>
      </c>
      <c r="C68" s="117" t="str">
        <f>J68+X68</f>
        <v>301.5</v>
      </c>
      <c r="D68" s="117" t="str">
        <f t="shared" si="27"/>
        <v/>
      </c>
      <c r="E68" s="118" t="s">
        <v>437</v>
      </c>
      <c r="F68" s="117"/>
      <c r="G68" s="117"/>
      <c r="H68" s="117"/>
      <c r="I68" s="117"/>
      <c r="J68" s="117" t="str">
        <f>X68*2</f>
        <v>201</v>
      </c>
      <c r="K68" s="117"/>
      <c r="L68" s="117"/>
      <c r="M68" s="117"/>
      <c r="N68" s="117"/>
      <c r="O68" s="117"/>
      <c r="P68" s="117"/>
      <c r="Q68" s="119"/>
      <c r="R68" s="120" t="s">
        <v>433</v>
      </c>
      <c r="S68" s="119"/>
      <c r="T68" s="119"/>
      <c r="U68" s="73"/>
      <c r="V68" s="120" t="s">
        <v>453</v>
      </c>
      <c r="W68" s="119"/>
      <c r="X68" s="119" t="str">
        <f>B68*201</f>
        <v>100.5</v>
      </c>
      <c r="Y68" s="119"/>
      <c r="Z68" s="119"/>
      <c r="AA68" s="119"/>
      <c r="AB68" s="117"/>
      <c r="AC68" s="119"/>
      <c r="AD68" s="73"/>
      <c r="AE68" s="73"/>
      <c r="AF68" s="122" t="s">
        <v>460</v>
      </c>
      <c r="AK68" s="116" t="s">
        <v>465</v>
      </c>
    </row>
    <row r="69" ht="14.25" customHeight="1">
      <c r="A69" s="24" t="s">
        <v>67</v>
      </c>
      <c r="B69" s="88"/>
      <c r="C69" s="117" t="str">
        <f t="shared" ref="C69:C70" si="28">L69+AA69</f>
        <v>0</v>
      </c>
      <c r="D69" s="117" t="str">
        <f t="shared" si="27"/>
        <v>0</v>
      </c>
      <c r="E69" s="118" t="s">
        <v>437</v>
      </c>
      <c r="F69" s="117"/>
      <c r="G69" s="117"/>
      <c r="H69" s="117"/>
      <c r="I69" s="117"/>
      <c r="J69" s="117"/>
      <c r="K69" s="117"/>
      <c r="L69" s="125" t="str">
        <f t="shared" ref="L69:L70" si="29">AA69*6</f>
        <v>0</v>
      </c>
      <c r="M69" s="117"/>
      <c r="N69" s="117"/>
      <c r="O69" s="117"/>
      <c r="P69" s="117"/>
      <c r="Q69" s="119"/>
      <c r="R69" s="120" t="s">
        <v>433</v>
      </c>
      <c r="S69" s="119"/>
      <c r="T69" s="119"/>
      <c r="U69" s="73"/>
      <c r="V69" s="120" t="s">
        <v>453</v>
      </c>
      <c r="W69" s="119"/>
      <c r="X69" s="119"/>
      <c r="Y69" s="119"/>
      <c r="Z69" s="119"/>
      <c r="AA69" s="119" t="str">
        <f>B69*446</f>
        <v>0</v>
      </c>
      <c r="AB69" s="117"/>
      <c r="AC69" s="119"/>
      <c r="AD69" s="73"/>
      <c r="AE69" s="73"/>
      <c r="AF69" s="122" t="s">
        <v>460</v>
      </c>
      <c r="AK69" s="116" t="s">
        <v>465</v>
      </c>
    </row>
    <row r="70" ht="14.25" customHeight="1">
      <c r="A70" s="24" t="s">
        <v>68</v>
      </c>
      <c r="B70" s="88">
        <v>0.5</v>
      </c>
      <c r="C70" s="117" t="str">
        <f t="shared" si="28"/>
        <v>1554</v>
      </c>
      <c r="D70" s="117" t="str">
        <f t="shared" si="27"/>
        <v>1332</v>
      </c>
      <c r="E70" s="118" t="s">
        <v>437</v>
      </c>
      <c r="F70" s="117"/>
      <c r="G70" s="117"/>
      <c r="H70" s="117"/>
      <c r="I70" s="117"/>
      <c r="J70" s="117"/>
      <c r="K70" s="117"/>
      <c r="L70" s="117" t="str">
        <f t="shared" si="29"/>
        <v>1332</v>
      </c>
      <c r="M70" s="117"/>
      <c r="N70" s="117"/>
      <c r="O70" s="117"/>
      <c r="P70" s="117"/>
      <c r="Q70" s="119"/>
      <c r="R70" s="120" t="s">
        <v>433</v>
      </c>
      <c r="S70" s="119"/>
      <c r="T70" s="119"/>
      <c r="U70" s="73"/>
      <c r="V70" s="120" t="s">
        <v>453</v>
      </c>
      <c r="W70" s="119"/>
      <c r="X70" s="119"/>
      <c r="Y70" s="119"/>
      <c r="Z70" s="119"/>
      <c r="AA70" s="119" t="str">
        <f>B70*444</f>
        <v>222</v>
      </c>
      <c r="AB70" s="117"/>
      <c r="AC70" s="119"/>
      <c r="AD70" s="73"/>
      <c r="AE70" s="73"/>
      <c r="AF70" s="122" t="s">
        <v>460</v>
      </c>
      <c r="AK70" s="116" t="s">
        <v>465</v>
      </c>
      <c r="AO70" t="str">
        <f>AA70*2</f>
        <v>444</v>
      </c>
    </row>
    <row r="71" ht="14.25" customHeight="1">
      <c r="A71" s="24" t="s">
        <v>69</v>
      </c>
      <c r="B71" s="88">
        <v>0.5</v>
      </c>
      <c r="C71" s="117" t="str">
        <f>J71+X71</f>
        <v>297</v>
      </c>
      <c r="D71" s="117"/>
      <c r="E71" s="118" t="s">
        <v>437</v>
      </c>
      <c r="F71" s="117"/>
      <c r="G71" s="117"/>
      <c r="H71" s="117"/>
      <c r="I71" s="117"/>
      <c r="J71" s="117" t="str">
        <f>X71*2</f>
        <v>198</v>
      </c>
      <c r="K71" s="117"/>
      <c r="L71" s="117"/>
      <c r="M71" s="117"/>
      <c r="N71" s="117"/>
      <c r="O71" s="117"/>
      <c r="P71" s="117"/>
      <c r="Q71" s="119"/>
      <c r="R71" s="120" t="s">
        <v>433</v>
      </c>
      <c r="S71" s="119"/>
      <c r="T71" s="119"/>
      <c r="U71" s="73"/>
      <c r="V71" s="120" t="s">
        <v>453</v>
      </c>
      <c r="W71" s="119"/>
      <c r="X71" s="119" t="str">
        <f>B71*198</f>
        <v>99</v>
      </c>
      <c r="Y71" s="119"/>
      <c r="Z71" s="119"/>
      <c r="AA71" s="119"/>
      <c r="AB71" s="117"/>
      <c r="AC71" s="119"/>
      <c r="AD71" s="73"/>
      <c r="AE71" s="73"/>
      <c r="AF71" s="122" t="s">
        <v>460</v>
      </c>
      <c r="AK71" s="116" t="s">
        <v>465</v>
      </c>
    </row>
    <row r="72" ht="14.25" customHeight="1">
      <c r="A72" s="24" t="s">
        <v>70</v>
      </c>
      <c r="B72" s="88"/>
      <c r="C72" s="117" t="str">
        <f t="shared" ref="C72:C74" si="30">M72+Z72</f>
        <v>0</v>
      </c>
      <c r="D72" s="117"/>
      <c r="E72" s="118" t="s">
        <v>437</v>
      </c>
      <c r="F72" s="117"/>
      <c r="G72" s="117"/>
      <c r="H72" s="117"/>
      <c r="I72" s="117"/>
      <c r="J72" s="117"/>
      <c r="K72" s="117"/>
      <c r="L72" s="117"/>
      <c r="M72" s="125" t="str">
        <f t="shared" ref="M72:M74" si="31">Z72*6</f>
        <v>0</v>
      </c>
      <c r="N72" s="117"/>
      <c r="O72" s="117"/>
      <c r="P72" s="117"/>
      <c r="Q72" s="119"/>
      <c r="R72" s="120" t="s">
        <v>433</v>
      </c>
      <c r="S72" s="119"/>
      <c r="T72" s="119"/>
      <c r="U72" s="73"/>
      <c r="V72" s="120" t="s">
        <v>453</v>
      </c>
      <c r="W72" s="119"/>
      <c r="X72" s="119"/>
      <c r="Y72" s="119"/>
      <c r="Z72" s="119" t="str">
        <f>B72*215</f>
        <v>0</v>
      </c>
      <c r="AA72" s="119"/>
      <c r="AB72" s="117"/>
      <c r="AC72" s="119"/>
      <c r="AD72" s="73"/>
      <c r="AE72" s="73"/>
      <c r="AF72" s="122" t="s">
        <v>460</v>
      </c>
      <c r="AK72" s="116" t="s">
        <v>465</v>
      </c>
    </row>
    <row r="73" ht="14.25" customHeight="1">
      <c r="A73" s="24" t="s">
        <v>71</v>
      </c>
      <c r="B73" s="88">
        <v>0.5</v>
      </c>
      <c r="C73" s="117" t="str">
        <f t="shared" si="30"/>
        <v>1078</v>
      </c>
      <c r="D73" s="117"/>
      <c r="E73" s="118" t="s">
        <v>437</v>
      </c>
      <c r="F73" s="117"/>
      <c r="G73" s="117"/>
      <c r="H73" s="117"/>
      <c r="I73" s="117"/>
      <c r="J73" s="117"/>
      <c r="K73" s="117"/>
      <c r="L73" s="117"/>
      <c r="M73" s="125" t="str">
        <f t="shared" si="31"/>
        <v>924</v>
      </c>
      <c r="N73" s="117"/>
      <c r="O73" s="117"/>
      <c r="P73" s="117"/>
      <c r="Q73" s="119"/>
      <c r="R73" s="120" t="s">
        <v>433</v>
      </c>
      <c r="S73" s="119"/>
      <c r="T73" s="119"/>
      <c r="U73" s="73"/>
      <c r="V73" s="120" t="s">
        <v>453</v>
      </c>
      <c r="W73" s="119"/>
      <c r="X73" s="119"/>
      <c r="Y73" s="119"/>
      <c r="Z73" s="119" t="str">
        <f>B73*308</f>
        <v>154</v>
      </c>
      <c r="AA73" s="119"/>
      <c r="AB73" s="117"/>
      <c r="AC73" s="119"/>
      <c r="AD73" s="73"/>
      <c r="AE73" s="73"/>
      <c r="AF73" s="122" t="s">
        <v>460</v>
      </c>
      <c r="AK73" s="116" t="s">
        <v>465</v>
      </c>
    </row>
    <row r="74" ht="14.25" customHeight="1">
      <c r="A74" s="24" t="s">
        <v>72</v>
      </c>
      <c r="B74" s="88">
        <v>1.0</v>
      </c>
      <c r="C74" s="117" t="str">
        <f t="shared" si="30"/>
        <v>2800</v>
      </c>
      <c r="D74" s="117"/>
      <c r="E74" s="118" t="s">
        <v>437</v>
      </c>
      <c r="F74" s="117"/>
      <c r="G74" s="117"/>
      <c r="H74" s="117"/>
      <c r="I74" s="117"/>
      <c r="J74" s="117"/>
      <c r="K74" s="117"/>
      <c r="L74" s="117"/>
      <c r="M74" s="117" t="str">
        <f t="shared" si="31"/>
        <v>2400</v>
      </c>
      <c r="N74" s="117"/>
      <c r="O74" s="117"/>
      <c r="P74" s="117"/>
      <c r="Q74" s="119"/>
      <c r="R74" s="120" t="s">
        <v>433</v>
      </c>
      <c r="S74" s="119"/>
      <c r="T74" s="119"/>
      <c r="U74" s="73"/>
      <c r="V74" s="120" t="s">
        <v>453</v>
      </c>
      <c r="W74" s="119"/>
      <c r="X74" s="119"/>
      <c r="Y74" s="119"/>
      <c r="Z74" s="119" t="str">
        <f>B74*400</f>
        <v>400</v>
      </c>
      <c r="AA74" s="119"/>
      <c r="AB74" s="117"/>
      <c r="AC74" s="119"/>
      <c r="AD74" s="73"/>
      <c r="AE74" s="73"/>
      <c r="AF74" s="122" t="s">
        <v>460</v>
      </c>
      <c r="AK74" s="116" t="s">
        <v>465</v>
      </c>
    </row>
    <row r="75" ht="14.25" customHeight="1">
      <c r="A75" s="24" t="s">
        <v>73</v>
      </c>
      <c r="B75" s="24"/>
      <c r="C75" s="117" t="str">
        <f>J75+X75</f>
        <v>0</v>
      </c>
      <c r="D75" s="117"/>
      <c r="E75" s="118" t="s">
        <v>437</v>
      </c>
      <c r="F75" s="117"/>
      <c r="G75" s="117"/>
      <c r="H75" s="117"/>
      <c r="I75" s="117"/>
      <c r="J75" s="117" t="str">
        <f t="shared" ref="J75:J79" si="32">X75*2</f>
        <v>0</v>
      </c>
      <c r="K75" s="117"/>
      <c r="L75" s="117"/>
      <c r="M75" s="117"/>
      <c r="N75" s="117"/>
      <c r="O75" s="117"/>
      <c r="P75" s="117"/>
      <c r="Q75" s="119"/>
      <c r="R75" s="120" t="s">
        <v>433</v>
      </c>
      <c r="S75" s="119"/>
      <c r="T75" s="119"/>
      <c r="U75" s="73"/>
      <c r="V75" s="120" t="s">
        <v>453</v>
      </c>
      <c r="W75" s="119"/>
      <c r="X75" s="119" t="str">
        <f>B75*202</f>
        <v>0</v>
      </c>
      <c r="Y75" s="119"/>
      <c r="Z75" s="119"/>
      <c r="AA75" s="119"/>
      <c r="AB75" s="117"/>
      <c r="AC75" s="119"/>
      <c r="AD75" s="73"/>
      <c r="AE75" s="73"/>
      <c r="AF75" s="122" t="s">
        <v>460</v>
      </c>
      <c r="AK75" s="116" t="s">
        <v>465</v>
      </c>
    </row>
    <row r="76" ht="14.25" customHeight="1">
      <c r="A76" s="14" t="s">
        <v>74</v>
      </c>
      <c r="B76" s="90">
        <v>2.0</v>
      </c>
      <c r="C76" s="117"/>
      <c r="D76" s="117"/>
      <c r="E76" s="118" t="s">
        <v>437</v>
      </c>
      <c r="F76" s="117"/>
      <c r="G76" s="117"/>
      <c r="H76" s="117"/>
      <c r="I76" s="117"/>
      <c r="J76" s="117" t="str">
        <f t="shared" si="32"/>
        <v>776</v>
      </c>
      <c r="K76" s="117"/>
      <c r="L76" s="117"/>
      <c r="M76" s="117"/>
      <c r="N76" s="117"/>
      <c r="O76" s="117"/>
      <c r="P76" s="117"/>
      <c r="Q76" s="119"/>
      <c r="R76" s="120" t="s">
        <v>433</v>
      </c>
      <c r="S76" s="119"/>
      <c r="T76" s="119"/>
      <c r="U76" s="73"/>
      <c r="V76" s="120" t="s">
        <v>453</v>
      </c>
      <c r="W76" s="119"/>
      <c r="X76" s="119" t="str">
        <f>B76*194</f>
        <v>388</v>
      </c>
      <c r="Y76" s="119"/>
      <c r="Z76" s="119"/>
      <c r="AA76" s="119"/>
      <c r="AB76" s="117"/>
      <c r="AC76" s="119"/>
      <c r="AD76" s="73"/>
      <c r="AE76" s="73"/>
      <c r="AF76" s="122" t="s">
        <v>460</v>
      </c>
      <c r="AK76" s="116" t="s">
        <v>465</v>
      </c>
    </row>
    <row r="77" ht="14.25" customHeight="1">
      <c r="A77" s="27" t="s">
        <v>75</v>
      </c>
      <c r="B77" s="126">
        <v>0.5</v>
      </c>
      <c r="C77" s="117" t="str">
        <f t="shared" ref="C77:C79" si="33">J77+X77</f>
        <v>270</v>
      </c>
      <c r="D77" s="117"/>
      <c r="E77" s="118" t="s">
        <v>437</v>
      </c>
      <c r="F77" s="117"/>
      <c r="G77" s="117"/>
      <c r="H77" s="117"/>
      <c r="I77" s="117"/>
      <c r="J77" s="117" t="str">
        <f t="shared" si="32"/>
        <v>180</v>
      </c>
      <c r="K77" s="117"/>
      <c r="L77" s="117"/>
      <c r="M77" s="117"/>
      <c r="N77" s="117"/>
      <c r="O77" s="117"/>
      <c r="P77" s="117"/>
      <c r="Q77" s="119"/>
      <c r="R77" s="120" t="s">
        <v>433</v>
      </c>
      <c r="S77" s="119"/>
      <c r="T77" s="119"/>
      <c r="U77" s="73"/>
      <c r="V77" s="120" t="s">
        <v>453</v>
      </c>
      <c r="W77" s="119"/>
      <c r="X77" s="119" t="str">
        <f t="shared" ref="X77:X78" si="34">B77*180</f>
        <v>90</v>
      </c>
      <c r="Y77" s="119"/>
      <c r="Z77" s="119"/>
      <c r="AA77" s="119"/>
      <c r="AB77" s="117"/>
      <c r="AC77" s="119"/>
      <c r="AD77" s="73"/>
      <c r="AE77" s="73"/>
      <c r="AF77" s="122" t="s">
        <v>460</v>
      </c>
      <c r="AK77" s="116" t="s">
        <v>465</v>
      </c>
    </row>
    <row r="78" ht="14.25" customHeight="1">
      <c r="A78" s="27" t="s">
        <v>76</v>
      </c>
      <c r="B78" s="126"/>
      <c r="C78" s="117" t="str">
        <f t="shared" si="33"/>
        <v>0</v>
      </c>
      <c r="D78" s="117"/>
      <c r="E78" s="118" t="s">
        <v>437</v>
      </c>
      <c r="F78" s="117"/>
      <c r="G78" s="117"/>
      <c r="H78" s="117"/>
      <c r="I78" s="117"/>
      <c r="J78" s="117" t="str">
        <f t="shared" si="32"/>
        <v>0</v>
      </c>
      <c r="K78" s="117"/>
      <c r="L78" s="117"/>
      <c r="M78" s="117"/>
      <c r="N78" s="117"/>
      <c r="O78" s="117"/>
      <c r="P78" s="117"/>
      <c r="Q78" s="119"/>
      <c r="R78" s="120" t="s">
        <v>433</v>
      </c>
      <c r="S78" s="119"/>
      <c r="T78" s="119"/>
      <c r="U78" s="73"/>
      <c r="V78" s="120" t="s">
        <v>453</v>
      </c>
      <c r="W78" s="119"/>
      <c r="X78" s="119" t="str">
        <f t="shared" si="34"/>
        <v>0</v>
      </c>
      <c r="Y78" s="119"/>
      <c r="Z78" s="119"/>
      <c r="AA78" s="119"/>
      <c r="AB78" s="117"/>
      <c r="AC78" s="119"/>
      <c r="AD78" s="73"/>
      <c r="AE78" s="73"/>
      <c r="AF78" s="122" t="s">
        <v>460</v>
      </c>
      <c r="AK78" s="116" t="s">
        <v>465</v>
      </c>
    </row>
    <row r="79" ht="14.25" customHeight="1">
      <c r="A79" s="27" t="s">
        <v>77</v>
      </c>
      <c r="B79" s="126">
        <v>1.0</v>
      </c>
      <c r="C79" s="117" t="str">
        <f t="shared" si="33"/>
        <v>582</v>
      </c>
      <c r="D79" s="117"/>
      <c r="E79" s="118" t="s">
        <v>437</v>
      </c>
      <c r="F79" s="117"/>
      <c r="G79" s="117"/>
      <c r="H79" s="117"/>
      <c r="I79" s="117"/>
      <c r="J79" s="117" t="str">
        <f t="shared" si="32"/>
        <v>388</v>
      </c>
      <c r="K79" s="117"/>
      <c r="L79" s="117"/>
      <c r="M79" s="117"/>
      <c r="N79" s="117"/>
      <c r="O79" s="117"/>
      <c r="P79" s="117"/>
      <c r="Q79" s="119"/>
      <c r="R79" s="120" t="s">
        <v>433</v>
      </c>
      <c r="S79" s="119"/>
      <c r="T79" s="119"/>
      <c r="U79" s="73"/>
      <c r="V79" s="120" t="s">
        <v>453</v>
      </c>
      <c r="W79" s="119"/>
      <c r="X79" s="119" t="str">
        <f>B79*194</f>
        <v>194</v>
      </c>
      <c r="Y79" s="119"/>
      <c r="Z79" s="119"/>
      <c r="AA79" s="119"/>
      <c r="AB79" s="117"/>
      <c r="AC79" s="119"/>
      <c r="AD79" s="73"/>
      <c r="AE79" s="73"/>
      <c r="AF79" s="122" t="s">
        <v>460</v>
      </c>
      <c r="AK79" s="116" t="s">
        <v>465</v>
      </c>
    </row>
    <row r="80" ht="14.25" customHeight="1">
      <c r="A80" s="14" t="s">
        <v>78</v>
      </c>
      <c r="B80" s="126">
        <v>1.0</v>
      </c>
      <c r="C80" s="117"/>
      <c r="D80" s="117"/>
      <c r="E80" s="118" t="s">
        <v>437</v>
      </c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9"/>
      <c r="R80" s="120" t="s">
        <v>433</v>
      </c>
      <c r="S80" s="119"/>
      <c r="T80" s="119"/>
      <c r="U80" s="73"/>
      <c r="V80" s="120" t="s">
        <v>453</v>
      </c>
      <c r="W80" s="119"/>
      <c r="X80" s="119"/>
      <c r="Y80" s="119"/>
      <c r="Z80" s="119"/>
      <c r="AA80" s="119"/>
      <c r="AB80" s="117"/>
      <c r="AC80" s="119"/>
      <c r="AD80" s="73"/>
      <c r="AE80" s="73"/>
      <c r="AF80" s="122" t="s">
        <v>460</v>
      </c>
      <c r="AK80" s="116" t="s">
        <v>465</v>
      </c>
    </row>
    <row r="81" ht="14.25" customHeight="1">
      <c r="A81" s="14" t="s">
        <v>79</v>
      </c>
      <c r="B81" s="126"/>
      <c r="C81" s="117"/>
      <c r="D81" s="117"/>
      <c r="E81" s="118" t="s">
        <v>437</v>
      </c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9"/>
      <c r="R81" s="120" t="s">
        <v>433</v>
      </c>
      <c r="S81" s="119"/>
      <c r="T81" s="119"/>
      <c r="U81" s="73"/>
      <c r="V81" s="120" t="s">
        <v>453</v>
      </c>
      <c r="W81" s="119"/>
      <c r="X81" s="119"/>
      <c r="Y81" s="119"/>
      <c r="Z81" s="119"/>
      <c r="AA81" s="119"/>
      <c r="AB81" s="117"/>
      <c r="AC81" s="119"/>
      <c r="AD81" s="73"/>
      <c r="AE81" s="73"/>
      <c r="AF81" s="122" t="s">
        <v>460</v>
      </c>
      <c r="AK81" s="116" t="s">
        <v>465</v>
      </c>
    </row>
    <row r="82" ht="14.25" customHeight="1">
      <c r="A82" s="14" t="s">
        <v>80</v>
      </c>
      <c r="B82" s="126"/>
      <c r="C82" s="117"/>
      <c r="D82" s="117"/>
      <c r="E82" s="118" t="s">
        <v>437</v>
      </c>
      <c r="F82" s="117"/>
      <c r="G82" s="117"/>
      <c r="H82" s="117"/>
      <c r="I82" s="117"/>
      <c r="J82" s="117"/>
      <c r="K82" s="117"/>
      <c r="L82" s="117" t="s">
        <v>470</v>
      </c>
      <c r="M82" s="117"/>
      <c r="N82" s="117"/>
      <c r="O82" s="117"/>
      <c r="P82" s="117"/>
      <c r="Q82" s="119"/>
      <c r="R82" s="120" t="s">
        <v>433</v>
      </c>
      <c r="S82" s="119"/>
      <c r="T82" s="119"/>
      <c r="U82" s="73"/>
      <c r="V82" s="120" t="s">
        <v>453</v>
      </c>
      <c r="W82" s="119"/>
      <c r="X82" s="119"/>
      <c r="Y82" s="119"/>
      <c r="Z82" s="119"/>
      <c r="AA82" s="119"/>
      <c r="AB82" s="117"/>
      <c r="AC82" s="119"/>
      <c r="AD82" s="73"/>
      <c r="AE82" s="73"/>
      <c r="AF82" s="122" t="s">
        <v>460</v>
      </c>
      <c r="AK82" s="116" t="s">
        <v>465</v>
      </c>
    </row>
    <row r="83" ht="14.25" customHeight="1">
      <c r="A83" s="26" t="s">
        <v>81</v>
      </c>
      <c r="B83" s="26"/>
      <c r="C83" s="117" t="str">
        <f>J83+X83</f>
        <v>0</v>
      </c>
      <c r="D83" s="117"/>
      <c r="E83" s="118" t="s">
        <v>437</v>
      </c>
      <c r="F83" s="117"/>
      <c r="G83" s="117"/>
      <c r="H83" s="117"/>
      <c r="I83" s="117"/>
      <c r="J83" s="117" t="str">
        <f>X83*2</f>
        <v>0</v>
      </c>
      <c r="K83" s="117"/>
      <c r="L83" s="117"/>
      <c r="M83" s="117"/>
      <c r="N83" s="117"/>
      <c r="O83" s="117"/>
      <c r="P83" s="117"/>
      <c r="Q83" s="119"/>
      <c r="R83" s="120" t="s">
        <v>433</v>
      </c>
      <c r="S83" s="119"/>
      <c r="T83" s="119"/>
      <c r="U83" s="73"/>
      <c r="V83" s="120" t="s">
        <v>453</v>
      </c>
      <c r="W83" s="119"/>
      <c r="X83" s="119" t="str">
        <f>B83*196</f>
        <v>0</v>
      </c>
      <c r="Y83" s="119"/>
      <c r="Z83" s="119"/>
      <c r="AA83" s="119"/>
      <c r="AB83" s="117"/>
      <c r="AC83" s="119"/>
      <c r="AD83" s="73"/>
      <c r="AE83" s="73"/>
      <c r="AF83" s="122" t="s">
        <v>460</v>
      </c>
      <c r="AK83" s="116" t="s">
        <v>465</v>
      </c>
    </row>
    <row r="84" ht="14.25" customHeight="1">
      <c r="A84" s="28" t="s">
        <v>82</v>
      </c>
      <c r="B84" s="28"/>
      <c r="C84" s="117" t="str">
        <f>F84</f>
        <v>0</v>
      </c>
      <c r="D84" s="117"/>
      <c r="E84" s="118" t="s">
        <v>437</v>
      </c>
      <c r="F84" s="117" t="str">
        <f>B84*95</f>
        <v>0</v>
      </c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9"/>
      <c r="R84" s="120" t="s">
        <v>433</v>
      </c>
      <c r="S84" s="119"/>
      <c r="T84" s="119"/>
      <c r="U84" s="73"/>
      <c r="V84" s="120" t="s">
        <v>453</v>
      </c>
      <c r="W84" s="119"/>
      <c r="X84" s="119"/>
      <c r="Y84" s="119"/>
      <c r="Z84" s="119"/>
      <c r="AA84" s="119"/>
      <c r="AB84" s="117"/>
      <c r="AC84" s="119"/>
      <c r="AD84" s="73"/>
      <c r="AE84" s="73"/>
      <c r="AF84" s="122" t="s">
        <v>460</v>
      </c>
      <c r="AK84" s="116" t="s">
        <v>465</v>
      </c>
    </row>
    <row r="85" ht="14.25" customHeight="1">
      <c r="A85" s="28" t="s">
        <v>83</v>
      </c>
      <c r="B85" s="28">
        <v>1.0</v>
      </c>
      <c r="C85" s="117" t="str">
        <f t="shared" ref="C85:C86" si="35">H85</f>
        <v>80</v>
      </c>
      <c r="D85" s="117"/>
      <c r="E85" s="118" t="s">
        <v>437</v>
      </c>
      <c r="F85" s="117"/>
      <c r="G85" s="117"/>
      <c r="H85" s="117" t="str">
        <f>B85*80</f>
        <v>80</v>
      </c>
      <c r="I85" s="117"/>
      <c r="J85" s="117"/>
      <c r="K85" s="117"/>
      <c r="L85" s="117"/>
      <c r="M85" s="117"/>
      <c r="N85" s="117"/>
      <c r="O85" s="117"/>
      <c r="P85" s="117"/>
      <c r="Q85" s="119"/>
      <c r="R85" s="120" t="s">
        <v>433</v>
      </c>
      <c r="S85" s="119"/>
      <c r="T85" s="119"/>
      <c r="U85" s="73"/>
      <c r="V85" s="120" t="s">
        <v>453</v>
      </c>
      <c r="W85" s="119"/>
      <c r="X85" s="119"/>
      <c r="Y85" s="119"/>
      <c r="Z85" s="119"/>
      <c r="AA85" s="119"/>
      <c r="AB85" s="117"/>
      <c r="AC85" s="119"/>
      <c r="AD85" s="73"/>
      <c r="AE85" s="73"/>
      <c r="AF85" s="122" t="s">
        <v>460</v>
      </c>
      <c r="AK85" s="116" t="s">
        <v>465</v>
      </c>
    </row>
    <row r="86" ht="14.25" customHeight="1">
      <c r="A86" s="28" t="s">
        <v>84</v>
      </c>
      <c r="B86" s="28">
        <v>3.0</v>
      </c>
      <c r="C86" s="72" t="str">
        <f t="shared" si="35"/>
        <v>249</v>
      </c>
      <c r="D86" s="72"/>
      <c r="E86" s="118" t="s">
        <v>437</v>
      </c>
      <c r="F86" s="72"/>
      <c r="G86" s="72"/>
      <c r="H86" s="72" t="str">
        <f>B86*83</f>
        <v>249</v>
      </c>
      <c r="I86" s="72"/>
      <c r="J86" s="72"/>
      <c r="K86" s="72"/>
      <c r="L86" s="72"/>
      <c r="M86" s="72"/>
      <c r="N86" s="72"/>
      <c r="O86" s="72"/>
      <c r="P86" s="72"/>
      <c r="Q86" s="72"/>
      <c r="R86" s="120" t="s">
        <v>433</v>
      </c>
      <c r="S86" s="72"/>
      <c r="T86" s="72"/>
      <c r="U86" s="72"/>
      <c r="V86" s="120" t="s">
        <v>453</v>
      </c>
      <c r="W86" s="72"/>
      <c r="X86" s="72"/>
      <c r="Y86" s="72"/>
      <c r="Z86" s="72"/>
      <c r="AA86" s="72"/>
      <c r="AB86" s="127"/>
      <c r="AC86" s="128"/>
      <c r="AD86" s="129"/>
      <c r="AE86" s="129"/>
      <c r="AF86" s="122" t="s">
        <v>460</v>
      </c>
      <c r="AK86" s="116" t="s">
        <v>465</v>
      </c>
    </row>
    <row r="87" ht="14.25" customHeight="1">
      <c r="A87" s="67" t="s">
        <v>471</v>
      </c>
      <c r="B87" s="28"/>
      <c r="C87" s="72"/>
      <c r="D87" s="72"/>
      <c r="E87" s="120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81"/>
      <c r="S87" s="72"/>
      <c r="T87" s="72"/>
      <c r="U87" s="72"/>
      <c r="V87" s="81"/>
      <c r="W87" s="72"/>
      <c r="X87" s="72"/>
      <c r="Y87" s="72"/>
      <c r="Z87" s="72"/>
      <c r="AA87" s="72"/>
      <c r="AB87" s="127"/>
      <c r="AC87" s="130"/>
      <c r="AD87" s="131"/>
      <c r="AE87" s="131"/>
      <c r="AF87" s="122" t="s">
        <v>460</v>
      </c>
      <c r="AK87" s="116" t="s">
        <v>465</v>
      </c>
    </row>
    <row r="88" ht="14.25" customHeight="1">
      <c r="B88" s="82" t="s">
        <v>472</v>
      </c>
      <c r="C88" s="72"/>
      <c r="D88" s="72"/>
      <c r="E88" s="81"/>
      <c r="F88" s="72" t="str">
        <f>SUM(F3:F86)</f>
        <v>653</v>
      </c>
      <c r="G88" s="72" t="str">
        <f t="shared" ref="G88:J88" si="36">SUM(G3:G85)</f>
        <v>209</v>
      </c>
      <c r="H88" s="72" t="str">
        <f t="shared" si="36"/>
        <v>80</v>
      </c>
      <c r="I88" s="72" t="str">
        <f t="shared" si="36"/>
        <v>2136</v>
      </c>
      <c r="J88" s="72" t="str">
        <f t="shared" si="36"/>
        <v>5893</v>
      </c>
      <c r="K88" s="72"/>
      <c r="L88" s="72" t="str">
        <f t="shared" ref="L88:N88" si="37">SUM(L3:L85)</f>
        <v>2124</v>
      </c>
      <c r="M88" s="72" t="str">
        <f t="shared" si="37"/>
        <v>3324</v>
      </c>
      <c r="N88" s="72" t="str">
        <f t="shared" si="37"/>
        <v>0</v>
      </c>
      <c r="O88" s="72"/>
      <c r="P88" s="72"/>
      <c r="Q88" s="72" t="str">
        <f>SUM(Q3:Q85)</f>
        <v>0</v>
      </c>
      <c r="R88" s="72"/>
      <c r="S88" s="72" t="str">
        <f t="shared" ref="S88:U88" si="38">SUM(S3:S85)</f>
        <v>100</v>
      </c>
      <c r="T88" s="72" t="str">
        <f t="shared" si="38"/>
        <v>900</v>
      </c>
      <c r="U88" s="72" t="str">
        <f t="shared" si="38"/>
        <v>0</v>
      </c>
      <c r="V88" s="72"/>
      <c r="W88" s="72" t="str">
        <f t="shared" ref="W88:X88" si="39">SUM(W3:W85)</f>
        <v>534</v>
      </c>
      <c r="X88" s="72" t="str">
        <f t="shared" si="39"/>
        <v>2946.5</v>
      </c>
      <c r="Y88" s="72"/>
      <c r="Z88" s="72" t="str">
        <f t="shared" ref="Z88:AB88" si="40">SUM(Z3:Z85)</f>
        <v>554</v>
      </c>
      <c r="AA88" s="72" t="str">
        <f t="shared" si="40"/>
        <v>354</v>
      </c>
      <c r="AB88" s="127" t="str">
        <f t="shared" si="40"/>
        <v>0</v>
      </c>
      <c r="AC88" s="132"/>
      <c r="AD88" s="132"/>
      <c r="AE88" s="132"/>
      <c r="AF88" s="81"/>
      <c r="AG88" s="133" t="str">
        <f>F88+G88</f>
        <v>862</v>
      </c>
      <c r="AH88" s="72" t="str">
        <f>Z88</f>
        <v>554</v>
      </c>
      <c r="AI88" s="127" t="str">
        <f>H88</f>
        <v>80</v>
      </c>
      <c r="AJ88" s="127"/>
      <c r="AK88" s="81"/>
      <c r="AL88" s="133" t="str">
        <f>SUM(AL3:AL85)</f>
        <v>0</v>
      </c>
      <c r="AO88" s="72" t="str">
        <f>AA88*2</f>
        <v>708</v>
      </c>
    </row>
    <row r="89" ht="14.25" customHeight="1">
      <c r="B89" t="s">
        <v>473</v>
      </c>
      <c r="C89" s="117"/>
      <c r="D89" s="117"/>
      <c r="E89" s="117" t="s">
        <v>474</v>
      </c>
      <c r="F89" s="117" t="str">
        <f>979-12</f>
        <v>967</v>
      </c>
      <c r="G89" s="117" t="str">
        <f>598-18</f>
        <v>580</v>
      </c>
      <c r="H89" s="117" t="str">
        <f>1137-6</f>
        <v>1131</v>
      </c>
      <c r="I89" s="117">
        <v>1403.0</v>
      </c>
      <c r="J89" s="117">
        <v>2166.0</v>
      </c>
      <c r="K89" s="117"/>
      <c r="L89" s="117">
        <v>15544.0</v>
      </c>
      <c r="M89" s="117" t="str">
        <f>12333-75</f>
        <v>12258</v>
      </c>
      <c r="N89" s="117" t="str">
        <f>2202-396</f>
        <v>1806</v>
      </c>
      <c r="O89" s="117"/>
      <c r="P89" s="117"/>
      <c r="Q89" s="119">
        <v>22939.0</v>
      </c>
      <c r="R89" s="73"/>
      <c r="S89" s="119">
        <v>582.0</v>
      </c>
      <c r="T89" s="119">
        <v>417.0</v>
      </c>
      <c r="U89" s="73">
        <v>132.0</v>
      </c>
      <c r="V89" s="73"/>
      <c r="W89" s="119">
        <v>1178.0</v>
      </c>
      <c r="X89" s="119">
        <v>2342.0</v>
      </c>
      <c r="Y89" s="119">
        <v>1407.0</v>
      </c>
      <c r="Z89" s="119">
        <v>673.0</v>
      </c>
      <c r="AA89" s="119">
        <v>1502.0</v>
      </c>
      <c r="AB89" s="117">
        <v>2983.0</v>
      </c>
      <c r="AC89" s="73"/>
      <c r="AD89" s="73"/>
      <c r="AE89" s="73"/>
      <c r="AF89" s="81"/>
      <c r="AG89">
        <v>3500.0</v>
      </c>
      <c r="AH89">
        <v>48355.0</v>
      </c>
      <c r="AI89">
        <v>1073.0</v>
      </c>
      <c r="AK89" s="116"/>
      <c r="AL89">
        <v>34764.0</v>
      </c>
      <c r="AM89">
        <v>2887.0</v>
      </c>
      <c r="AN89">
        <v>6060.0</v>
      </c>
      <c r="AO89">
        <v>5968.0</v>
      </c>
    </row>
    <row r="90" ht="14.25" customHeight="1"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9"/>
      <c r="R90" s="73"/>
      <c r="S90" s="119"/>
      <c r="T90" s="119"/>
      <c r="U90" s="73"/>
      <c r="V90" s="73"/>
      <c r="W90" s="119"/>
      <c r="X90" s="119"/>
      <c r="Y90" s="119"/>
      <c r="Z90" s="119"/>
      <c r="AA90" s="119"/>
      <c r="AB90" s="117"/>
      <c r="AC90" s="73"/>
      <c r="AD90" s="73"/>
      <c r="AE90" s="73"/>
      <c r="AF90" s="81"/>
      <c r="AK90" s="116"/>
    </row>
    <row r="91" ht="14.25" customHeight="1">
      <c r="C91" s="73"/>
      <c r="D91" s="73"/>
      <c r="E91" s="134">
        <v>46387.0</v>
      </c>
      <c r="F91" s="73" t="str">
        <f>F89-81-163-98</f>
        <v>625</v>
      </c>
      <c r="G91" s="73"/>
      <c r="H91" s="117"/>
      <c r="I91" s="117"/>
      <c r="J91" s="117" t="str">
        <f>J89-370</f>
        <v>1796</v>
      </c>
      <c r="K91" s="117"/>
      <c r="L91" s="117"/>
      <c r="M91" s="117"/>
      <c r="N91" s="117"/>
      <c r="O91" s="117"/>
      <c r="P91" s="117"/>
      <c r="Q91" s="119"/>
      <c r="R91" s="73"/>
      <c r="S91" s="119" t="str">
        <f>S89-50-85</f>
        <v>447</v>
      </c>
      <c r="T91" s="119"/>
      <c r="U91" s="73"/>
      <c r="V91" s="73"/>
      <c r="W91" s="119"/>
      <c r="X91" s="73" t="str">
        <f>X89-185</f>
        <v>2157</v>
      </c>
      <c r="Y91" s="119"/>
      <c r="Z91" s="119"/>
      <c r="AA91" s="119"/>
      <c r="AB91" s="117"/>
      <c r="AC91" s="73"/>
      <c r="AD91" s="73"/>
      <c r="AE91" s="73"/>
      <c r="AF91" s="81"/>
      <c r="AK91" s="116"/>
    </row>
    <row r="92" ht="14.25" customHeight="1">
      <c r="C92" s="73"/>
      <c r="D92" s="73"/>
      <c r="E92" s="134">
        <v>46026.0</v>
      </c>
      <c r="F92" s="73" t="str">
        <f t="shared" ref="F92:F93" si="41">F91+2000</f>
        <v>2625</v>
      </c>
      <c r="G92" s="73" t="str">
        <f>G89-103</f>
        <v>477</v>
      </c>
      <c r="H92" s="73"/>
      <c r="I92" s="73"/>
      <c r="J92" s="73" t="str">
        <f>J91-318-188-300</f>
        <v>990</v>
      </c>
      <c r="K92" s="73"/>
      <c r="L92" s="73"/>
      <c r="M92" s="73"/>
      <c r="N92" s="73"/>
      <c r="O92" s="73"/>
      <c r="P92" s="73"/>
      <c r="Q92" s="73"/>
      <c r="R92" s="73"/>
      <c r="S92" s="73"/>
      <c r="T92" s="73" t="str">
        <f>T89+3360</f>
        <v>3777</v>
      </c>
      <c r="U92" s="73" t="str">
        <f>U89+1260</f>
        <v>1392</v>
      </c>
      <c r="V92" s="73"/>
      <c r="W92" s="73"/>
      <c r="X92" s="73" t="str">
        <f>X91-194-94-150+1260</f>
        <v>2979</v>
      </c>
      <c r="Y92" s="73"/>
      <c r="Z92" s="73"/>
      <c r="AA92" s="73"/>
      <c r="AB92" s="73"/>
      <c r="AC92" s="73"/>
      <c r="AD92" s="73"/>
      <c r="AE92" s="73"/>
      <c r="AF92" s="81"/>
      <c r="AK92" s="116"/>
    </row>
    <row r="93" ht="14.25" customHeight="1">
      <c r="A93" s="72"/>
      <c r="B93" s="72" t="s">
        <v>475</v>
      </c>
      <c r="C93" s="72" t="s">
        <v>389</v>
      </c>
      <c r="D93" s="72" t="s">
        <v>391</v>
      </c>
      <c r="E93" s="134">
        <v>46027.0</v>
      </c>
      <c r="F93" s="73" t="str">
        <f t="shared" si="41"/>
        <v>4625</v>
      </c>
      <c r="G93" s="73" t="str">
        <f>G92-212</f>
        <v>265</v>
      </c>
      <c r="H93" s="73" t="str">
        <f>H89-84-90</f>
        <v>957</v>
      </c>
      <c r="I93" s="73" t="str">
        <f>I89-1172</f>
        <v>231</v>
      </c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 t="str">
        <f>T92-50</f>
        <v>3727</v>
      </c>
      <c r="U93" s="73"/>
      <c r="V93" s="73"/>
      <c r="W93" s="73" t="str">
        <f>W89-293</f>
        <v>885</v>
      </c>
      <c r="X93" s="73"/>
      <c r="Y93" s="73"/>
      <c r="Z93" s="73"/>
      <c r="AA93" s="73"/>
      <c r="AB93" s="73"/>
      <c r="AC93" s="73"/>
      <c r="AD93" s="73"/>
      <c r="AE93" s="73"/>
      <c r="AF93" s="81"/>
      <c r="AI93" t="str">
        <f>AI89-90</f>
        <v>983</v>
      </c>
      <c r="AK93" s="116"/>
    </row>
    <row r="94" ht="14.25" customHeight="1">
      <c r="A94" s="135" t="s">
        <v>437</v>
      </c>
      <c r="B94" s="5"/>
      <c r="C94" s="5"/>
      <c r="D94" s="6"/>
      <c r="E94" s="134">
        <v>46028.0</v>
      </c>
      <c r="F94" t="str">
        <f>F93-99</f>
        <v>4526</v>
      </c>
      <c r="H94" s="73"/>
      <c r="I94" s="73"/>
      <c r="J94" s="73" t="str">
        <f>J92-394-202</f>
        <v>394</v>
      </c>
      <c r="K94" s="73"/>
      <c r="L94" s="73"/>
      <c r="M94" s="73"/>
      <c r="N94" s="73"/>
      <c r="O94" s="73"/>
      <c r="P94" s="73"/>
      <c r="Q94" s="73"/>
      <c r="R94" s="73"/>
      <c r="S94" s="73"/>
      <c r="T94" s="73" t="str">
        <f>T93-200-100</f>
        <v>3427</v>
      </c>
      <c r="U94" s="73"/>
      <c r="V94" s="73"/>
      <c r="W94" s="73"/>
      <c r="X94" s="73" t="str">
        <f>X92-197-101</f>
        <v>2681</v>
      </c>
      <c r="Y94" s="73"/>
      <c r="Z94" s="73"/>
      <c r="AA94" s="73"/>
      <c r="AB94" s="73"/>
      <c r="AC94" s="73"/>
      <c r="AD94" s="73"/>
      <c r="AE94" s="73"/>
      <c r="AF94" s="81"/>
      <c r="AK94" s="116"/>
    </row>
    <row r="95" ht="14.25" customHeight="1">
      <c r="A95" s="72" t="s">
        <v>438</v>
      </c>
      <c r="B95" s="129" t="str">
        <f>F88</f>
        <v>653</v>
      </c>
      <c r="C95" s="72" t="str">
        <f>979-12</f>
        <v>967</v>
      </c>
      <c r="D95" s="133" t="str">
        <f t="shared" ref="D95:D99" si="42">C95-B95</f>
        <v>314</v>
      </c>
      <c r="E95" s="134">
        <v>46030.0</v>
      </c>
      <c r="F95" s="73" t="str">
        <f>F94-96</f>
        <v>4430</v>
      </c>
      <c r="G95" s="73" t="str">
        <f>G93-101</f>
        <v>164</v>
      </c>
      <c r="H95" s="73"/>
      <c r="I95" s="73" t="str">
        <f>I93+1645</f>
        <v>1876</v>
      </c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81"/>
      <c r="AH95" t="str">
        <f>AH89-1290</f>
        <v>47065</v>
      </c>
      <c r="AK95" s="116"/>
    </row>
    <row r="96" ht="14.25" customHeight="1">
      <c r="A96" s="72" t="s">
        <v>439</v>
      </c>
      <c r="B96" s="129" t="str">
        <f>G88</f>
        <v>209</v>
      </c>
      <c r="C96" s="72" t="str">
        <f>598-18</f>
        <v>580</v>
      </c>
      <c r="D96" s="133" t="str">
        <f t="shared" si="42"/>
        <v>371</v>
      </c>
      <c r="E96" s="134">
        <v>46033.0</v>
      </c>
      <c r="G96" s="73"/>
      <c r="M96" s="73" t="str">
        <f>M89-1290</f>
        <v>10968</v>
      </c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 t="str">
        <f>Z89-215</f>
        <v>458</v>
      </c>
      <c r="AA96" s="73"/>
      <c r="AB96" s="73"/>
      <c r="AC96" s="73"/>
      <c r="AD96" s="73"/>
      <c r="AE96" s="73"/>
      <c r="AF96" s="81"/>
      <c r="AK96" s="116"/>
    </row>
    <row r="97" ht="14.25" customHeight="1">
      <c r="A97" s="72" t="s">
        <v>440</v>
      </c>
      <c r="B97" s="129" t="str">
        <f>H88</f>
        <v>80</v>
      </c>
      <c r="C97" s="72" t="str">
        <f>1137-6</f>
        <v>1131</v>
      </c>
      <c r="D97" s="133" t="str">
        <f t="shared" si="42"/>
        <v>1051</v>
      </c>
      <c r="E97" s="134">
        <v>46034.0</v>
      </c>
      <c r="F97" s="73"/>
      <c r="G97" s="73"/>
      <c r="H97" s="73"/>
      <c r="I97" s="73" t="str">
        <f>I95+1645</f>
        <v>3521</v>
      </c>
      <c r="J97" s="73"/>
      <c r="K97" s="73"/>
      <c r="L97" s="73"/>
      <c r="M97" s="73" t="str">
        <f>M96-1302</f>
        <v>9666</v>
      </c>
      <c r="N97" s="73"/>
      <c r="O97" s="73">
        <v>11842.0</v>
      </c>
      <c r="P97" s="73"/>
      <c r="Q97" s="73"/>
      <c r="R97" s="73"/>
      <c r="S97" s="73"/>
      <c r="T97" s="73"/>
      <c r="U97" s="73" t="str">
        <f>U92-333</f>
        <v>1059</v>
      </c>
      <c r="V97" s="73"/>
      <c r="W97" s="73"/>
      <c r="X97" s="73" t="str">
        <f>X94+849</f>
        <v>3530</v>
      </c>
      <c r="Y97" s="73"/>
      <c r="Z97" s="73"/>
      <c r="AA97" s="73"/>
      <c r="AB97" s="73"/>
      <c r="AC97" s="73">
        <v>2006.0</v>
      </c>
      <c r="AD97" s="73"/>
      <c r="AE97" s="73"/>
      <c r="AF97" s="81"/>
      <c r="AH97" t="str">
        <f>AH95-1302</f>
        <v>45763</v>
      </c>
      <c r="AK97" s="116"/>
      <c r="AN97" t="str">
        <f>AN89+10000</f>
        <v>16060</v>
      </c>
    </row>
    <row r="98" ht="14.25" customHeight="1">
      <c r="A98" s="72" t="s">
        <v>441</v>
      </c>
      <c r="B98" s="129" t="str">
        <f>I88</f>
        <v>2136</v>
      </c>
      <c r="C98" s="72">
        <v>1403.0</v>
      </c>
      <c r="D98" s="133" t="str">
        <f t="shared" si="42"/>
        <v>-733</v>
      </c>
      <c r="E98" s="134">
        <v>46035.0</v>
      </c>
      <c r="F98" s="73" t="str">
        <f>F95-100</f>
        <v>4330</v>
      </c>
      <c r="G98" s="73"/>
      <c r="H98" s="73"/>
      <c r="I98" s="73"/>
      <c r="J98" s="73" t="str">
        <f>J94-391+1500</f>
        <v>1503</v>
      </c>
      <c r="K98" s="73"/>
      <c r="L98" s="73" t="str">
        <f>L89-1338-1344</f>
        <v>12862</v>
      </c>
      <c r="M98" s="73"/>
      <c r="N98" s="73"/>
      <c r="O98" s="73"/>
      <c r="P98" s="73"/>
      <c r="Q98" s="73"/>
      <c r="R98" s="73"/>
      <c r="S98" s="73" t="str">
        <f>S91-100</f>
        <v>347</v>
      </c>
      <c r="T98" s="73"/>
      <c r="U98" s="73"/>
      <c r="V98" s="73"/>
      <c r="W98" s="73"/>
      <c r="X98" s="73" t="str">
        <f>X97-224</f>
        <v>3306</v>
      </c>
      <c r="Y98" s="73"/>
      <c r="Z98" s="73"/>
      <c r="AA98" s="73" t="str">
        <f>AA89-223-224</f>
        <v>1055</v>
      </c>
      <c r="AB98" s="73"/>
      <c r="AC98" s="73"/>
      <c r="AD98" s="73"/>
      <c r="AE98" s="73"/>
      <c r="AF98" s="81"/>
      <c r="AJ98" t="str">
        <f>-1346-1349</f>
        <v>-2695</v>
      </c>
      <c r="AK98" s="116"/>
      <c r="AO98" t="str">
        <f>AO89-446-448</f>
        <v>5074</v>
      </c>
    </row>
    <row r="99" ht="14.25" customHeight="1">
      <c r="A99" s="72" t="s">
        <v>442</v>
      </c>
      <c r="B99" s="129" t="str">
        <f>J88</f>
        <v>5893</v>
      </c>
      <c r="C99" s="72">
        <v>2166.0</v>
      </c>
      <c r="D99" s="133" t="str">
        <f t="shared" si="42"/>
        <v>-3727</v>
      </c>
      <c r="E99" s="134">
        <v>46036.0</v>
      </c>
      <c r="F99" s="73" t="str">
        <f>F98-162</f>
        <v>4168</v>
      </c>
      <c r="G99" s="73"/>
      <c r="H99" s="73"/>
      <c r="I99" s="73"/>
      <c r="J99" s="73"/>
      <c r="K99" s="73"/>
      <c r="L99" s="73"/>
      <c r="M99" s="73"/>
      <c r="N99" s="73"/>
      <c r="O99" s="73"/>
      <c r="P99" s="73" t="str">
        <f>-444</f>
        <v>-444</v>
      </c>
      <c r="Q99" s="73"/>
      <c r="R99" s="73"/>
      <c r="S99" s="73"/>
      <c r="T99" s="73" t="str">
        <f>T94-598</f>
        <v>2829</v>
      </c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81"/>
      <c r="AK99" s="116"/>
      <c r="AL99" t="str">
        <f>AL89-445</f>
        <v>34319</v>
      </c>
    </row>
    <row r="100" ht="14.25" customHeight="1">
      <c r="A100" s="72" t="s">
        <v>443</v>
      </c>
      <c r="B100" s="129" t="str">
        <f>K88</f>
        <v/>
      </c>
      <c r="C100" s="72"/>
      <c r="D100" s="133"/>
      <c r="E100" s="134" t="s">
        <v>476</v>
      </c>
      <c r="F100" s="73" t="str">
        <f>F99-81-100</f>
        <v>3987</v>
      </c>
      <c r="G100" s="73"/>
      <c r="H100" s="73"/>
      <c r="I100" s="73" t="str">
        <f>I97-784</f>
        <v>2737</v>
      </c>
      <c r="J100" s="73"/>
      <c r="K100" s="73"/>
      <c r="L100" s="73"/>
      <c r="M100" s="73"/>
      <c r="N100" s="73"/>
      <c r="O100" s="73"/>
      <c r="P100" s="73"/>
      <c r="Q100" s="73" t="str">
        <f>Q89-1540</f>
        <v>21399</v>
      </c>
      <c r="R100" s="73"/>
      <c r="S100" s="73"/>
      <c r="T100" s="73"/>
      <c r="U100" s="73" t="str">
        <f>U97-333</f>
        <v>726</v>
      </c>
      <c r="V100" s="73"/>
      <c r="W100" s="73" t="str">
        <f>W93-196</f>
        <v>689</v>
      </c>
      <c r="X100" s="73"/>
      <c r="Y100" s="73"/>
      <c r="Z100" s="73"/>
      <c r="AA100" s="73"/>
      <c r="AB100" s="73"/>
      <c r="AC100" s="73"/>
      <c r="AD100" s="73"/>
      <c r="AE100" s="73">
        <v>-64.0</v>
      </c>
      <c r="AF100" s="81"/>
      <c r="AK100" s="116"/>
    </row>
    <row r="101" ht="14.25" customHeight="1">
      <c r="A101" s="72" t="s">
        <v>444</v>
      </c>
      <c r="B101" s="129" t="str">
        <f>L88</f>
        <v>2124</v>
      </c>
      <c r="C101" s="72">
        <v>15544.0</v>
      </c>
      <c r="D101" s="133" t="str">
        <f t="shared" ref="D101:D104" si="43">C101-B101</f>
        <v>13420</v>
      </c>
      <c r="E101" s="73" t="s">
        <v>477</v>
      </c>
      <c r="F101" s="73"/>
      <c r="G101" s="73"/>
      <c r="H101" s="73"/>
      <c r="I101" s="73"/>
      <c r="J101" s="73" t="str">
        <f>J98-356-204-396</f>
        <v>547</v>
      </c>
      <c r="K101" s="73"/>
      <c r="L101" s="73" t="str">
        <f>L98-1338</f>
        <v>11524</v>
      </c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81"/>
      <c r="AK101" s="116"/>
    </row>
    <row r="102" ht="14.25" customHeight="1">
      <c r="A102" s="72" t="s">
        <v>445</v>
      </c>
      <c r="B102" s="129" t="str">
        <f>M88</f>
        <v>3324</v>
      </c>
      <c r="C102" s="72" t="str">
        <f>12333-75</f>
        <v>12258</v>
      </c>
      <c r="D102" s="133" t="str">
        <f t="shared" si="43"/>
        <v>8934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81"/>
      <c r="AK102" s="116"/>
    </row>
    <row r="103" ht="14.25" customHeight="1">
      <c r="A103" s="72" t="s">
        <v>446</v>
      </c>
      <c r="B103" s="129" t="str">
        <f>N88</f>
        <v>0</v>
      </c>
      <c r="C103" s="72" t="str">
        <f>2202-396</f>
        <v>1806</v>
      </c>
      <c r="D103" s="133" t="str">
        <f t="shared" si="43"/>
        <v>1806</v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81"/>
      <c r="AK103" s="116"/>
    </row>
    <row r="104" ht="14.25" customHeight="1">
      <c r="A104" s="72" t="s">
        <v>449</v>
      </c>
      <c r="B104" s="129" t="str">
        <f>Q88</f>
        <v>0</v>
      </c>
      <c r="C104" s="72">
        <v>22939.0</v>
      </c>
      <c r="D104" s="133" t="str">
        <f t="shared" si="43"/>
        <v>22939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81"/>
      <c r="AK104" s="116"/>
    </row>
    <row r="105" ht="14.25" customHeight="1">
      <c r="A105" s="135" t="s">
        <v>433</v>
      </c>
      <c r="B105" s="5"/>
      <c r="C105" s="5"/>
      <c r="D105" s="6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81"/>
      <c r="AK105" s="116"/>
    </row>
    <row r="106" ht="14.25" customHeight="1">
      <c r="A106" s="72" t="s">
        <v>450</v>
      </c>
      <c r="B106" s="129" t="str">
        <f>S88</f>
        <v>100</v>
      </c>
      <c r="C106" s="72">
        <v>582.0</v>
      </c>
      <c r="D106" s="133" t="str">
        <f t="shared" ref="D106:D108" si="44">C106-B106</f>
        <v>482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81"/>
      <c r="AK106" s="116"/>
    </row>
    <row r="107" ht="14.25" customHeight="1">
      <c r="A107" s="72" t="s">
        <v>451</v>
      </c>
      <c r="B107" s="129" t="str">
        <f>T88</f>
        <v>900</v>
      </c>
      <c r="C107" s="72">
        <v>417.0</v>
      </c>
      <c r="D107" s="133" t="str">
        <f t="shared" si="44"/>
        <v>-483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81"/>
      <c r="AK107" s="116"/>
    </row>
    <row r="108" ht="14.25" customHeight="1">
      <c r="A108" s="72" t="s">
        <v>452</v>
      </c>
      <c r="B108" s="72" t="str">
        <f>U88</f>
        <v>0</v>
      </c>
      <c r="C108" s="72">
        <v>132.0</v>
      </c>
      <c r="D108" s="72" t="str">
        <f t="shared" si="44"/>
        <v>132</v>
      </c>
      <c r="G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81"/>
      <c r="AK108" s="116"/>
    </row>
    <row r="109" ht="14.25" customHeight="1">
      <c r="A109" s="135" t="s">
        <v>453</v>
      </c>
      <c r="B109" s="5"/>
      <c r="C109" s="5"/>
      <c r="D109" s="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81"/>
      <c r="AK109" s="116"/>
    </row>
    <row r="110" ht="14.25" customHeight="1">
      <c r="A110" s="72" t="s">
        <v>454</v>
      </c>
      <c r="B110" s="72" t="str">
        <f>W88</f>
        <v>534</v>
      </c>
      <c r="C110" s="72">
        <v>1178.0</v>
      </c>
      <c r="D110" s="72" t="str">
        <f t="shared" ref="D110:D115" si="45">C110-B110</f>
        <v>644</v>
      </c>
      <c r="G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81"/>
      <c r="AK110" s="116"/>
    </row>
    <row r="111" ht="14.25" customHeight="1">
      <c r="A111" s="72" t="s">
        <v>455</v>
      </c>
      <c r="B111" s="72" t="str">
        <f>X88</f>
        <v>2946.5</v>
      </c>
      <c r="C111" s="72">
        <v>2342.0</v>
      </c>
      <c r="D111" s="72" t="str">
        <f t="shared" si="45"/>
        <v>-604.5</v>
      </c>
      <c r="G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81"/>
      <c r="AK111" s="116"/>
    </row>
    <row r="112" ht="14.25" customHeight="1">
      <c r="A112" s="72" t="s">
        <v>456</v>
      </c>
      <c r="B112" s="72" t="str">
        <f>Y88</f>
        <v/>
      </c>
      <c r="C112" s="72">
        <v>1407.0</v>
      </c>
      <c r="D112" s="72" t="str">
        <f t="shared" si="45"/>
        <v>1407</v>
      </c>
      <c r="G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81"/>
      <c r="AK112" s="116"/>
    </row>
    <row r="113" ht="14.25" customHeight="1">
      <c r="A113" s="72" t="s">
        <v>457</v>
      </c>
      <c r="B113" s="72" t="str">
        <f>Z88</f>
        <v>554</v>
      </c>
      <c r="C113" s="72">
        <v>673.0</v>
      </c>
      <c r="D113" s="72" t="str">
        <f t="shared" si="45"/>
        <v>119</v>
      </c>
      <c r="G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81"/>
      <c r="AK113" s="116"/>
    </row>
    <row r="114" ht="14.25" customHeight="1">
      <c r="A114" s="72" t="s">
        <v>458</v>
      </c>
      <c r="B114" s="72" t="str">
        <f>AA88</f>
        <v>354</v>
      </c>
      <c r="C114" s="72">
        <v>1502.0</v>
      </c>
      <c r="D114" s="72" t="str">
        <f t="shared" si="45"/>
        <v>1148</v>
      </c>
      <c r="G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81"/>
      <c r="AK114" s="116"/>
    </row>
    <row r="115" ht="14.25" customHeight="1">
      <c r="A115" s="72" t="s">
        <v>459</v>
      </c>
      <c r="B115" s="72" t="str">
        <f>AB88</f>
        <v>0</v>
      </c>
      <c r="C115" s="72">
        <v>2983.0</v>
      </c>
      <c r="D115" s="72" t="str">
        <f t="shared" si="45"/>
        <v>2983</v>
      </c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81"/>
      <c r="AK115" s="116"/>
    </row>
    <row r="116" ht="14.25" customHeight="1">
      <c r="A116" s="135" t="s">
        <v>460</v>
      </c>
      <c r="B116" s="5"/>
      <c r="C116" s="5"/>
      <c r="D116" s="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81"/>
      <c r="AK116" s="116"/>
    </row>
    <row r="117" ht="14.25" customHeight="1">
      <c r="A117" s="72" t="s">
        <v>461</v>
      </c>
      <c r="B117" s="82" t="str">
        <f>AG88</f>
        <v>862</v>
      </c>
      <c r="C117" s="82">
        <v>3500.0</v>
      </c>
      <c r="D117" s="82" t="str">
        <f t="shared" ref="D117:D119" si="46">C117-B117</f>
        <v>2638</v>
      </c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81"/>
      <c r="AK117" s="116"/>
    </row>
    <row r="118" ht="14.25" customHeight="1">
      <c r="A118" s="72" t="s">
        <v>462</v>
      </c>
      <c r="B118" s="82" t="str">
        <f>AH88</f>
        <v>554</v>
      </c>
      <c r="C118" s="82">
        <v>48355.0</v>
      </c>
      <c r="D118" s="82" t="str">
        <f t="shared" si="46"/>
        <v>47801</v>
      </c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81"/>
      <c r="AK118" s="116"/>
    </row>
    <row r="119" ht="14.25" customHeight="1">
      <c r="A119" s="72" t="s">
        <v>463</v>
      </c>
      <c r="B119" s="82" t="str">
        <f>AI88</f>
        <v>80</v>
      </c>
      <c r="C119" s="82">
        <v>1073.0</v>
      </c>
      <c r="D119" s="82" t="str">
        <f t="shared" si="46"/>
        <v>993</v>
      </c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81"/>
      <c r="AK119" s="116"/>
    </row>
    <row r="120" ht="14.25" customHeight="1">
      <c r="A120" s="135" t="s">
        <v>465</v>
      </c>
      <c r="B120" s="5"/>
      <c r="C120" s="5"/>
      <c r="D120" s="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81"/>
      <c r="AK120" s="116"/>
    </row>
    <row r="121" ht="14.25" customHeight="1">
      <c r="A121" s="72" t="s">
        <v>466</v>
      </c>
      <c r="B121" s="82"/>
      <c r="C121" s="82">
        <v>34764.0</v>
      </c>
      <c r="D121" s="82" t="str">
        <f t="shared" ref="D121:D124" si="47">C121-B121</f>
        <v>34764</v>
      </c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136"/>
      <c r="AK121" s="137"/>
    </row>
    <row r="122" ht="14.25" customHeight="1">
      <c r="A122" s="72" t="s">
        <v>467</v>
      </c>
      <c r="B122" s="82"/>
      <c r="C122" s="82">
        <v>2887.0</v>
      </c>
      <c r="D122" s="82" t="str">
        <f t="shared" si="47"/>
        <v>2887</v>
      </c>
      <c r="F122" s="13"/>
      <c r="G122" s="13"/>
      <c r="H122" s="13"/>
      <c r="I122" s="1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13"/>
      <c r="AH122" s="13"/>
      <c r="AI122" s="13"/>
      <c r="AJ122" s="13"/>
      <c r="AK122" s="13"/>
      <c r="AL122" s="13"/>
    </row>
    <row r="123" ht="14.25" customHeight="1">
      <c r="A123" s="72" t="s">
        <v>468</v>
      </c>
      <c r="B123" s="82"/>
      <c r="C123" s="82">
        <v>6060.0</v>
      </c>
      <c r="D123" s="82" t="str">
        <f t="shared" si="47"/>
        <v>6060</v>
      </c>
      <c r="F123" s="13"/>
      <c r="G123" s="13"/>
      <c r="H123" s="13"/>
      <c r="I123" s="1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13"/>
      <c r="AH123" s="13"/>
      <c r="AI123" s="13"/>
      <c r="AJ123" s="13"/>
      <c r="AK123" s="13"/>
      <c r="AL123" s="13"/>
    </row>
    <row r="124" ht="14.25" customHeight="1">
      <c r="A124" s="72" t="s">
        <v>469</v>
      </c>
      <c r="B124" s="82" t="str">
        <f>AO88</f>
        <v>708</v>
      </c>
      <c r="C124" s="82">
        <v>5968.0</v>
      </c>
      <c r="D124" s="82" t="str">
        <f t="shared" si="47"/>
        <v>5260</v>
      </c>
      <c r="F124" s="13"/>
      <c r="G124" s="13"/>
      <c r="H124" s="13"/>
      <c r="I124" s="1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13"/>
      <c r="AH124" s="13"/>
      <c r="AI124" s="13"/>
      <c r="AJ124" s="13"/>
      <c r="AK124" s="13"/>
      <c r="AL124" s="13"/>
    </row>
    <row r="125" ht="14.25" customHeight="1">
      <c r="A125" s="138"/>
      <c r="B125" s="138"/>
      <c r="C125" s="139"/>
      <c r="D125" s="140"/>
      <c r="E125" s="117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13"/>
      <c r="AH125" s="13"/>
      <c r="AI125" s="13"/>
      <c r="AJ125" s="13"/>
      <c r="AK125" s="13"/>
      <c r="AL125" s="13"/>
    </row>
    <row r="126" ht="14.25" customHeight="1">
      <c r="A126" s="13"/>
      <c r="B126" s="1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13"/>
      <c r="AH126" s="13"/>
      <c r="AI126" s="13"/>
      <c r="AJ126" s="13"/>
      <c r="AK126" s="13"/>
      <c r="AL126" s="13"/>
    </row>
    <row r="127" ht="14.25" customHeight="1">
      <c r="A127" s="13"/>
      <c r="B127" s="1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13"/>
      <c r="AH127" s="13"/>
      <c r="AI127" s="13"/>
      <c r="AJ127" s="13"/>
      <c r="AK127" s="13"/>
      <c r="AL127" s="13"/>
    </row>
    <row r="128" ht="14.25" customHeight="1">
      <c r="A128" s="13"/>
      <c r="B128" s="1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13"/>
      <c r="AH128" s="13"/>
      <c r="AI128" s="13"/>
      <c r="AJ128" s="13"/>
      <c r="AK128" s="13"/>
      <c r="AL128" s="13"/>
    </row>
    <row r="129" ht="14.25" customHeight="1">
      <c r="A129" s="13"/>
      <c r="B129" s="1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13"/>
      <c r="AH129" s="13"/>
      <c r="AI129" s="13"/>
      <c r="AJ129" s="13"/>
      <c r="AK129" s="13"/>
      <c r="AL129" s="13"/>
    </row>
    <row r="130" ht="14.25" customHeight="1">
      <c r="A130" s="13"/>
      <c r="B130" s="1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13"/>
      <c r="AH130" s="13"/>
      <c r="AI130" s="13"/>
      <c r="AJ130" s="13"/>
      <c r="AK130" s="13"/>
      <c r="AL130" s="13"/>
    </row>
    <row r="131" ht="14.25" customHeight="1">
      <c r="A131" s="13"/>
      <c r="B131" s="1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13"/>
      <c r="AH131" s="13"/>
      <c r="AI131" s="13"/>
      <c r="AJ131" s="13"/>
      <c r="AK131" s="13"/>
      <c r="AL131" s="13"/>
    </row>
    <row r="132" ht="14.25" customHeight="1">
      <c r="A132" s="13"/>
      <c r="B132" s="1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13"/>
      <c r="AH132" s="13"/>
      <c r="AI132" s="13"/>
      <c r="AJ132" s="13"/>
      <c r="AK132" s="13"/>
      <c r="AL132" s="13"/>
    </row>
    <row r="133" ht="14.25" customHeight="1">
      <c r="A133" s="13"/>
      <c r="B133" s="1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13"/>
      <c r="AH133" s="13"/>
      <c r="AI133" s="13"/>
      <c r="AJ133" s="13"/>
      <c r="AK133" s="13"/>
      <c r="AL133" s="13"/>
    </row>
    <row r="134" ht="14.25" customHeight="1">
      <c r="A134" s="13"/>
      <c r="B134" s="1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13"/>
      <c r="AH134" s="13"/>
      <c r="AI134" s="13"/>
      <c r="AJ134" s="13"/>
      <c r="AK134" s="13"/>
      <c r="AL134" s="13"/>
    </row>
    <row r="135" ht="14.25" customHeight="1">
      <c r="A135" s="13"/>
      <c r="B135" s="1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13"/>
      <c r="AH135" s="13"/>
      <c r="AI135" s="13"/>
      <c r="AJ135" s="13"/>
      <c r="AK135" s="13"/>
      <c r="AL135" s="13"/>
    </row>
    <row r="136" ht="14.25" customHeight="1">
      <c r="A136" s="13"/>
      <c r="B136" s="1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13"/>
      <c r="AH136" s="13"/>
      <c r="AI136" s="13"/>
      <c r="AJ136" s="13"/>
      <c r="AK136" s="13"/>
      <c r="AL136" s="13"/>
    </row>
    <row r="137" ht="14.25" customHeight="1">
      <c r="A137" s="13"/>
      <c r="B137" s="1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13"/>
      <c r="AH137" s="13"/>
      <c r="AI137" s="13"/>
      <c r="AJ137" s="13"/>
      <c r="AK137" s="13"/>
      <c r="AL137" s="13"/>
    </row>
    <row r="138" ht="14.25" customHeight="1">
      <c r="A138" s="13"/>
      <c r="B138" s="1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13"/>
      <c r="AH138" s="13"/>
      <c r="AI138" s="13"/>
      <c r="AJ138" s="13"/>
      <c r="AK138" s="13"/>
      <c r="AL138" s="13"/>
    </row>
    <row r="139" ht="14.25" customHeight="1">
      <c r="A139" s="13"/>
      <c r="B139" s="1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13"/>
      <c r="AH139" s="13"/>
      <c r="AI139" s="13"/>
      <c r="AJ139" s="13"/>
      <c r="AK139" s="13"/>
      <c r="AL139" s="13"/>
    </row>
    <row r="140" ht="14.25" customHeight="1">
      <c r="A140" s="13"/>
      <c r="B140" s="1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13"/>
      <c r="AH140" s="13"/>
      <c r="AI140" s="13"/>
      <c r="AJ140" s="13"/>
      <c r="AK140" s="13"/>
      <c r="AL140" s="13"/>
    </row>
    <row r="141" ht="14.25" customHeight="1">
      <c r="A141" s="13"/>
      <c r="B141" s="1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13"/>
      <c r="AH141" s="13"/>
      <c r="AI141" s="13"/>
      <c r="AJ141" s="13"/>
      <c r="AK141" s="13"/>
      <c r="AL141" s="13"/>
    </row>
    <row r="142" ht="14.25" customHeight="1">
      <c r="A142" s="13"/>
      <c r="B142" s="1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13"/>
      <c r="AH142" s="13"/>
      <c r="AI142" s="13"/>
      <c r="AJ142" s="13"/>
      <c r="AK142" s="13"/>
      <c r="AL142" s="13"/>
    </row>
    <row r="143" ht="14.25" customHeight="1">
      <c r="A143" s="13"/>
      <c r="B143" s="1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13"/>
      <c r="AH143" s="13"/>
      <c r="AI143" s="13"/>
      <c r="AJ143" s="13"/>
      <c r="AK143" s="13"/>
      <c r="AL143" s="13"/>
    </row>
    <row r="144" ht="14.25" customHeight="1">
      <c r="A144" s="13"/>
      <c r="B144" s="1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13"/>
      <c r="AH144" s="13"/>
      <c r="AI144" s="13"/>
      <c r="AJ144" s="13"/>
      <c r="AK144" s="13"/>
      <c r="AL144" s="13"/>
    </row>
    <row r="145" ht="14.25" customHeight="1">
      <c r="A145" s="13"/>
      <c r="B145" s="1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13"/>
      <c r="AH145" s="13"/>
      <c r="AI145" s="13"/>
      <c r="AJ145" s="13"/>
      <c r="AK145" s="13"/>
      <c r="AL145" s="13"/>
    </row>
    <row r="146" ht="14.25" customHeight="1">
      <c r="A146" s="13"/>
      <c r="B146" s="1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13"/>
      <c r="AH146" s="13"/>
      <c r="AI146" s="13"/>
      <c r="AJ146" s="13"/>
      <c r="AK146" s="13"/>
      <c r="AL146" s="13"/>
    </row>
    <row r="147" ht="14.25" customHeight="1">
      <c r="A147" s="13"/>
      <c r="B147" s="1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13"/>
      <c r="AH147" s="13"/>
      <c r="AI147" s="13"/>
      <c r="AJ147" s="13"/>
      <c r="AK147" s="13"/>
      <c r="AL147" s="13"/>
    </row>
    <row r="148" ht="14.25" customHeight="1">
      <c r="A148" s="13"/>
      <c r="B148" s="1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13"/>
      <c r="AH148" s="13"/>
      <c r="AI148" s="13"/>
      <c r="AJ148" s="13"/>
      <c r="AK148" s="13"/>
      <c r="AL148" s="13"/>
    </row>
    <row r="149" ht="14.25" customHeight="1">
      <c r="A149" s="13"/>
      <c r="B149" s="1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13"/>
      <c r="AH149" s="13"/>
      <c r="AI149" s="13"/>
      <c r="AJ149" s="13"/>
      <c r="AK149" s="13"/>
      <c r="AL149" s="13"/>
    </row>
    <row r="150" ht="14.25" customHeight="1">
      <c r="A150" s="13"/>
      <c r="B150" s="1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13"/>
      <c r="AH150" s="13"/>
      <c r="AI150" s="13"/>
      <c r="AJ150" s="13"/>
      <c r="AK150" s="13"/>
      <c r="AL150" s="13"/>
    </row>
    <row r="151" ht="14.25" customHeight="1">
      <c r="A151" s="13"/>
      <c r="B151" s="1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13"/>
      <c r="AH151" s="13"/>
      <c r="AI151" s="13"/>
      <c r="AJ151" s="13"/>
      <c r="AK151" s="13"/>
      <c r="AL151" s="13"/>
    </row>
    <row r="152" ht="14.25" customHeight="1">
      <c r="A152" s="13"/>
      <c r="B152" s="1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13"/>
      <c r="AH152" s="13"/>
      <c r="AI152" s="13"/>
      <c r="AJ152" s="13"/>
      <c r="AK152" s="13"/>
      <c r="AL152" s="13"/>
    </row>
    <row r="153" ht="14.25" customHeight="1">
      <c r="A153" s="13"/>
      <c r="B153" s="1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13"/>
      <c r="AH153" s="13"/>
      <c r="AI153" s="13"/>
      <c r="AJ153" s="13"/>
      <c r="AK153" s="13"/>
      <c r="AL153" s="13"/>
    </row>
    <row r="154" ht="14.25" customHeight="1">
      <c r="A154" s="13"/>
      <c r="B154" s="1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13"/>
      <c r="AH154" s="13"/>
      <c r="AI154" s="13"/>
      <c r="AJ154" s="13"/>
      <c r="AK154" s="13"/>
      <c r="AL154" s="13"/>
    </row>
    <row r="155" ht="14.25" customHeight="1">
      <c r="A155" s="13"/>
      <c r="B155" s="1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13"/>
      <c r="AH155" s="13"/>
      <c r="AI155" s="13"/>
      <c r="AJ155" s="13"/>
      <c r="AK155" s="13"/>
      <c r="AL155" s="13"/>
    </row>
    <row r="156" ht="14.25" customHeight="1">
      <c r="A156" s="13"/>
      <c r="B156" s="1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13"/>
      <c r="AH156" s="13"/>
      <c r="AI156" s="13"/>
      <c r="AJ156" s="13"/>
      <c r="AK156" s="13"/>
      <c r="AL156" s="13"/>
    </row>
    <row r="157" ht="14.25" customHeight="1">
      <c r="A157" s="13"/>
      <c r="B157" s="1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13"/>
      <c r="AH157" s="13"/>
      <c r="AI157" s="13"/>
      <c r="AJ157" s="13"/>
      <c r="AK157" s="13"/>
      <c r="AL157" s="13"/>
    </row>
    <row r="158" ht="14.25" customHeight="1">
      <c r="A158" s="13"/>
      <c r="B158" s="1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13"/>
      <c r="AH158" s="13"/>
      <c r="AI158" s="13"/>
      <c r="AJ158" s="13"/>
      <c r="AK158" s="13"/>
      <c r="AL158" s="13"/>
    </row>
    <row r="159" ht="14.25" customHeight="1">
      <c r="A159" s="13"/>
      <c r="B159" s="1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13"/>
      <c r="AH159" s="13"/>
      <c r="AI159" s="13"/>
      <c r="AJ159" s="13"/>
      <c r="AK159" s="13"/>
      <c r="AL159" s="13"/>
    </row>
    <row r="160" ht="14.25" customHeight="1">
      <c r="A160" s="13"/>
      <c r="B160" s="1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13"/>
      <c r="AH160" s="13"/>
      <c r="AI160" s="13"/>
      <c r="AJ160" s="13"/>
      <c r="AK160" s="13"/>
      <c r="AL160" s="13"/>
    </row>
    <row r="161" ht="14.25" customHeight="1">
      <c r="A161" s="13"/>
      <c r="B161" s="1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13"/>
      <c r="AH161" s="13"/>
      <c r="AI161" s="13"/>
      <c r="AJ161" s="13"/>
      <c r="AK161" s="13"/>
      <c r="AL161" s="13"/>
    </row>
    <row r="162" ht="14.25" customHeight="1">
      <c r="A162" s="13"/>
      <c r="B162" s="1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13"/>
      <c r="AH162" s="13"/>
      <c r="AI162" s="13"/>
      <c r="AJ162" s="13"/>
      <c r="AK162" s="13"/>
      <c r="AL162" s="13"/>
    </row>
    <row r="163" ht="14.25" customHeight="1">
      <c r="A163" s="13"/>
      <c r="B163" s="1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13"/>
      <c r="AH163" s="13"/>
      <c r="AI163" s="13"/>
      <c r="AJ163" s="13"/>
      <c r="AK163" s="13"/>
      <c r="AL163" s="13"/>
    </row>
    <row r="164" ht="14.25" customHeight="1">
      <c r="A164" s="13"/>
      <c r="B164" s="1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13"/>
      <c r="AH164" s="13"/>
      <c r="AI164" s="13"/>
      <c r="AJ164" s="13"/>
      <c r="AK164" s="13"/>
      <c r="AL164" s="13"/>
    </row>
    <row r="165" ht="14.25" customHeight="1">
      <c r="A165" s="13"/>
      <c r="B165" s="1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13"/>
      <c r="AH165" s="13"/>
      <c r="AI165" s="13"/>
      <c r="AJ165" s="13"/>
      <c r="AK165" s="13"/>
      <c r="AL165" s="13"/>
    </row>
    <row r="166" ht="14.25" customHeight="1">
      <c r="A166" s="13"/>
      <c r="B166" s="1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13"/>
      <c r="AH166" s="13"/>
      <c r="AI166" s="13"/>
      <c r="AJ166" s="13"/>
      <c r="AK166" s="13"/>
      <c r="AL166" s="13"/>
    </row>
    <row r="167" ht="14.25" customHeight="1">
      <c r="A167" s="13"/>
      <c r="B167" s="1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13"/>
      <c r="AH167" s="13"/>
      <c r="AI167" s="13"/>
      <c r="AJ167" s="13"/>
      <c r="AK167" s="13"/>
      <c r="AL167" s="13"/>
    </row>
    <row r="168" ht="14.25" customHeight="1">
      <c r="A168" s="13"/>
      <c r="B168" s="1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13"/>
      <c r="AH168" s="13"/>
      <c r="AI168" s="13"/>
      <c r="AJ168" s="13"/>
      <c r="AK168" s="13"/>
      <c r="AL168" s="13"/>
    </row>
    <row r="169" ht="14.25" customHeight="1">
      <c r="A169" s="13"/>
      <c r="B169" s="1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13"/>
      <c r="AH169" s="13"/>
      <c r="AI169" s="13"/>
      <c r="AJ169" s="13"/>
      <c r="AK169" s="13"/>
      <c r="AL169" s="13"/>
    </row>
    <row r="170" ht="14.25" customHeight="1">
      <c r="A170" s="13"/>
      <c r="B170" s="1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13"/>
      <c r="AH170" s="13"/>
      <c r="AI170" s="13"/>
      <c r="AJ170" s="13"/>
      <c r="AK170" s="13"/>
      <c r="AL170" s="13"/>
    </row>
    <row r="171" ht="14.25" customHeight="1">
      <c r="A171" s="13"/>
      <c r="B171" s="1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13"/>
      <c r="AH171" s="13"/>
      <c r="AI171" s="13"/>
      <c r="AJ171" s="13"/>
      <c r="AK171" s="13"/>
      <c r="AL171" s="13"/>
    </row>
    <row r="172" ht="14.25" customHeight="1">
      <c r="A172" s="13"/>
      <c r="B172" s="1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13"/>
      <c r="AH172" s="13"/>
      <c r="AI172" s="13"/>
      <c r="AJ172" s="13"/>
      <c r="AK172" s="13"/>
      <c r="AL172" s="13"/>
    </row>
    <row r="173" ht="14.25" customHeight="1">
      <c r="A173" s="13"/>
      <c r="B173" s="1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13"/>
      <c r="AH173" s="13"/>
      <c r="AI173" s="13"/>
      <c r="AJ173" s="13"/>
      <c r="AK173" s="13"/>
      <c r="AL173" s="13"/>
    </row>
    <row r="174" ht="14.25" customHeight="1">
      <c r="A174" s="13"/>
      <c r="B174" s="1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13"/>
      <c r="AH174" s="13"/>
      <c r="AI174" s="13"/>
      <c r="AJ174" s="13"/>
      <c r="AK174" s="13"/>
      <c r="AL174" s="13"/>
    </row>
    <row r="175" ht="14.25" customHeight="1">
      <c r="A175" s="13"/>
      <c r="B175" s="1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13"/>
      <c r="AH175" s="13"/>
      <c r="AI175" s="13"/>
      <c r="AJ175" s="13"/>
      <c r="AK175" s="13"/>
      <c r="AL175" s="13"/>
    </row>
    <row r="176" ht="14.25" customHeight="1">
      <c r="A176" s="13"/>
      <c r="B176" s="1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13"/>
      <c r="AH176" s="13"/>
      <c r="AI176" s="13"/>
      <c r="AJ176" s="13"/>
      <c r="AK176" s="13"/>
      <c r="AL176" s="13"/>
    </row>
    <row r="177" ht="14.25" customHeight="1">
      <c r="A177" s="13"/>
      <c r="B177" s="1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13"/>
      <c r="AH177" s="13"/>
      <c r="AI177" s="13"/>
      <c r="AJ177" s="13"/>
      <c r="AK177" s="13"/>
      <c r="AL177" s="13"/>
    </row>
    <row r="178" ht="14.25" customHeight="1">
      <c r="A178" s="13"/>
      <c r="B178" s="1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13"/>
      <c r="AH178" s="13"/>
      <c r="AI178" s="13"/>
      <c r="AJ178" s="13"/>
      <c r="AK178" s="13"/>
      <c r="AL178" s="13"/>
    </row>
    <row r="179" ht="14.25" customHeight="1">
      <c r="A179" s="13"/>
      <c r="B179" s="1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13"/>
      <c r="AH179" s="13"/>
      <c r="AI179" s="13"/>
      <c r="AJ179" s="13"/>
      <c r="AK179" s="13"/>
      <c r="AL179" s="13"/>
    </row>
    <row r="180" ht="14.25" customHeight="1">
      <c r="A180" s="13"/>
      <c r="B180" s="1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13"/>
      <c r="AH180" s="13"/>
      <c r="AI180" s="13"/>
      <c r="AJ180" s="13"/>
      <c r="AK180" s="13"/>
      <c r="AL180" s="13"/>
    </row>
    <row r="181" ht="14.25" customHeight="1">
      <c r="A181" s="13"/>
      <c r="B181" s="1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13"/>
      <c r="AH181" s="13"/>
      <c r="AI181" s="13"/>
      <c r="AJ181" s="13"/>
      <c r="AK181" s="13"/>
      <c r="AL181" s="13"/>
    </row>
    <row r="182" ht="14.25" customHeight="1">
      <c r="A182" s="13"/>
      <c r="B182" s="1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13"/>
      <c r="AH182" s="13"/>
      <c r="AI182" s="13"/>
      <c r="AJ182" s="13"/>
      <c r="AK182" s="13"/>
      <c r="AL182" s="13"/>
    </row>
    <row r="183" ht="14.25" customHeight="1">
      <c r="A183" s="13"/>
      <c r="B183" s="1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13"/>
      <c r="AH183" s="13"/>
      <c r="AI183" s="13"/>
      <c r="AJ183" s="13"/>
      <c r="AK183" s="13"/>
      <c r="AL183" s="13"/>
    </row>
    <row r="184" ht="14.25" customHeight="1">
      <c r="A184" s="13"/>
      <c r="B184" s="1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13"/>
      <c r="AH184" s="13"/>
      <c r="AI184" s="13"/>
      <c r="AJ184" s="13"/>
      <c r="AK184" s="13"/>
      <c r="AL184" s="13"/>
    </row>
    <row r="185" ht="14.25" customHeight="1">
      <c r="A185" s="13"/>
      <c r="B185" s="1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13"/>
      <c r="AH185" s="13"/>
      <c r="AI185" s="13"/>
      <c r="AJ185" s="13"/>
      <c r="AK185" s="13"/>
      <c r="AL185" s="13"/>
    </row>
    <row r="186" ht="14.25" customHeight="1">
      <c r="A186" s="13"/>
      <c r="B186" s="1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13"/>
      <c r="AH186" s="13"/>
      <c r="AI186" s="13"/>
      <c r="AJ186" s="13"/>
      <c r="AK186" s="13"/>
      <c r="AL186" s="13"/>
    </row>
    <row r="187" ht="14.25" customHeight="1">
      <c r="A187" s="13"/>
      <c r="B187" s="1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13"/>
      <c r="AH187" s="13"/>
      <c r="AI187" s="13"/>
      <c r="AJ187" s="13"/>
      <c r="AK187" s="13"/>
      <c r="AL187" s="13"/>
    </row>
    <row r="188" ht="14.25" customHeight="1">
      <c r="A188" s="13"/>
      <c r="B188" s="1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13"/>
      <c r="AH188" s="13"/>
      <c r="AI188" s="13"/>
      <c r="AJ188" s="13"/>
      <c r="AK188" s="13"/>
      <c r="AL188" s="13"/>
    </row>
    <row r="189" ht="14.25" customHeight="1">
      <c r="A189" s="13"/>
      <c r="B189" s="1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13"/>
      <c r="AH189" s="13"/>
      <c r="AI189" s="13"/>
      <c r="AJ189" s="13"/>
      <c r="AK189" s="13"/>
      <c r="AL189" s="13"/>
    </row>
    <row r="190" ht="14.25" customHeight="1">
      <c r="A190" s="13"/>
      <c r="B190" s="1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13"/>
      <c r="AH190" s="13"/>
      <c r="AI190" s="13"/>
      <c r="AJ190" s="13"/>
      <c r="AK190" s="13"/>
      <c r="AL190" s="13"/>
    </row>
    <row r="191" ht="14.25" customHeight="1">
      <c r="A191" s="13"/>
      <c r="B191" s="1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13"/>
      <c r="AH191" s="13"/>
      <c r="AI191" s="13"/>
      <c r="AJ191" s="13"/>
      <c r="AK191" s="13"/>
      <c r="AL191" s="13"/>
    </row>
    <row r="192" ht="14.25" customHeight="1">
      <c r="A192" s="13"/>
      <c r="B192" s="1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13"/>
      <c r="AH192" s="13"/>
      <c r="AI192" s="13"/>
      <c r="AJ192" s="13"/>
      <c r="AK192" s="13"/>
      <c r="AL192" s="13"/>
    </row>
    <row r="193" ht="14.25" customHeight="1">
      <c r="A193" s="13"/>
      <c r="B193" s="1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13"/>
      <c r="AH193" s="13"/>
      <c r="AI193" s="13"/>
      <c r="AJ193" s="13"/>
      <c r="AK193" s="13"/>
      <c r="AL193" s="13"/>
    </row>
    <row r="194" ht="14.25" customHeight="1">
      <c r="A194" s="13"/>
      <c r="B194" s="1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13"/>
      <c r="AH194" s="13"/>
      <c r="AI194" s="13"/>
      <c r="AJ194" s="13"/>
      <c r="AK194" s="13"/>
      <c r="AL194" s="13"/>
    </row>
    <row r="195" ht="14.25" customHeight="1">
      <c r="A195" s="13"/>
      <c r="B195" s="1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13"/>
      <c r="AH195" s="13"/>
      <c r="AI195" s="13"/>
      <c r="AJ195" s="13"/>
      <c r="AK195" s="13"/>
      <c r="AL195" s="13"/>
    </row>
    <row r="196" ht="14.25" customHeight="1">
      <c r="A196" s="13"/>
      <c r="B196" s="1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13"/>
      <c r="AH196" s="13"/>
      <c r="AI196" s="13"/>
      <c r="AJ196" s="13"/>
      <c r="AK196" s="13"/>
      <c r="AL196" s="13"/>
    </row>
    <row r="197" ht="14.25" customHeight="1">
      <c r="A197" s="13"/>
      <c r="B197" s="1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13"/>
      <c r="AH197" s="13"/>
      <c r="AI197" s="13"/>
      <c r="AJ197" s="13"/>
      <c r="AK197" s="13"/>
      <c r="AL197" s="13"/>
    </row>
    <row r="198" ht="14.25" customHeight="1">
      <c r="A198" s="13"/>
      <c r="B198" s="1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13"/>
      <c r="AH198" s="13"/>
      <c r="AI198" s="13"/>
      <c r="AJ198" s="13"/>
      <c r="AK198" s="13"/>
      <c r="AL198" s="13"/>
    </row>
    <row r="199" ht="14.25" customHeight="1">
      <c r="A199" s="13"/>
      <c r="B199" s="1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13"/>
      <c r="AH199" s="13"/>
      <c r="AI199" s="13"/>
      <c r="AJ199" s="13"/>
      <c r="AK199" s="13"/>
      <c r="AL199" s="13"/>
    </row>
    <row r="200" ht="14.25" customHeight="1">
      <c r="A200" s="13"/>
      <c r="B200" s="1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13"/>
      <c r="AH200" s="13"/>
      <c r="AI200" s="13"/>
      <c r="AJ200" s="13"/>
      <c r="AK200" s="13"/>
      <c r="AL200" s="13"/>
    </row>
    <row r="201" ht="14.25" customHeight="1">
      <c r="A201" s="13"/>
      <c r="B201" s="1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13"/>
      <c r="AH201" s="13"/>
      <c r="AI201" s="13"/>
      <c r="AJ201" s="13"/>
      <c r="AK201" s="13"/>
      <c r="AL201" s="13"/>
    </row>
    <row r="202" ht="14.25" customHeight="1">
      <c r="A202" s="13"/>
      <c r="B202" s="1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13"/>
      <c r="AH202" s="13"/>
      <c r="AI202" s="13"/>
      <c r="AJ202" s="13"/>
      <c r="AK202" s="13"/>
      <c r="AL202" s="13"/>
    </row>
    <row r="203" ht="14.25" customHeight="1">
      <c r="A203" s="13"/>
      <c r="B203" s="1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13"/>
      <c r="AH203" s="13"/>
      <c r="AI203" s="13"/>
      <c r="AJ203" s="13"/>
      <c r="AK203" s="13"/>
      <c r="AL203" s="13"/>
    </row>
    <row r="204" ht="14.25" customHeight="1">
      <c r="A204" s="13"/>
      <c r="B204" s="1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13"/>
      <c r="AH204" s="13"/>
      <c r="AI204" s="13"/>
      <c r="AJ204" s="13"/>
      <c r="AK204" s="13"/>
      <c r="AL204" s="13"/>
    </row>
    <row r="205" ht="14.25" customHeight="1">
      <c r="A205" s="13"/>
      <c r="B205" s="1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13"/>
      <c r="AH205" s="13"/>
      <c r="AI205" s="13"/>
      <c r="AJ205" s="13"/>
      <c r="AK205" s="13"/>
      <c r="AL205" s="13"/>
    </row>
    <row r="206" ht="14.25" customHeight="1">
      <c r="A206" s="13"/>
      <c r="B206" s="1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13"/>
      <c r="AH206" s="13"/>
      <c r="AI206" s="13"/>
      <c r="AJ206" s="13"/>
      <c r="AK206" s="13"/>
      <c r="AL206" s="13"/>
    </row>
    <row r="207" ht="14.25" customHeight="1">
      <c r="A207" s="13"/>
      <c r="B207" s="1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13"/>
      <c r="AH207" s="13"/>
      <c r="AI207" s="13"/>
      <c r="AJ207" s="13"/>
      <c r="AK207" s="13"/>
      <c r="AL207" s="13"/>
    </row>
    <row r="208" ht="14.25" customHeight="1">
      <c r="A208" s="13"/>
      <c r="B208" s="1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13"/>
      <c r="AH208" s="13"/>
      <c r="AI208" s="13"/>
      <c r="AJ208" s="13"/>
      <c r="AK208" s="13"/>
      <c r="AL208" s="13"/>
    </row>
    <row r="209" ht="14.25" customHeight="1">
      <c r="A209" s="13"/>
      <c r="B209" s="1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13"/>
      <c r="AH209" s="13"/>
      <c r="AI209" s="13"/>
      <c r="AJ209" s="13"/>
      <c r="AK209" s="13"/>
      <c r="AL209" s="13"/>
    </row>
    <row r="210" ht="14.25" customHeight="1">
      <c r="A210" s="13"/>
      <c r="B210" s="1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13"/>
      <c r="AH210" s="13"/>
      <c r="AI210" s="13"/>
      <c r="AJ210" s="13"/>
      <c r="AK210" s="13"/>
      <c r="AL210" s="13"/>
    </row>
    <row r="211" ht="14.25" customHeight="1">
      <c r="A211" s="13"/>
      <c r="B211" s="1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13"/>
      <c r="AH211" s="13"/>
      <c r="AI211" s="13"/>
      <c r="AJ211" s="13"/>
      <c r="AK211" s="13"/>
      <c r="AL211" s="13"/>
    </row>
    <row r="212" ht="14.25" customHeight="1">
      <c r="A212" s="13"/>
      <c r="B212" s="1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13"/>
      <c r="AH212" s="13"/>
      <c r="AI212" s="13"/>
      <c r="AJ212" s="13"/>
      <c r="AK212" s="13"/>
      <c r="AL212" s="13"/>
    </row>
    <row r="213" ht="14.25" customHeight="1">
      <c r="A213" s="13"/>
      <c r="B213" s="1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13"/>
      <c r="AH213" s="13"/>
      <c r="AI213" s="13"/>
      <c r="AJ213" s="13"/>
      <c r="AK213" s="13"/>
      <c r="AL213" s="13"/>
    </row>
    <row r="214" ht="14.25" customHeight="1">
      <c r="A214" s="13"/>
      <c r="B214" s="1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13"/>
      <c r="AH214" s="13"/>
      <c r="AI214" s="13"/>
      <c r="AJ214" s="13"/>
      <c r="AK214" s="13"/>
      <c r="AL214" s="13"/>
    </row>
    <row r="215" ht="14.25" customHeight="1">
      <c r="A215" s="13"/>
      <c r="B215" s="1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13"/>
      <c r="AH215" s="13"/>
      <c r="AI215" s="13"/>
      <c r="AJ215" s="13"/>
      <c r="AK215" s="13"/>
      <c r="AL215" s="13"/>
    </row>
    <row r="216" ht="14.25" customHeight="1">
      <c r="A216" s="13"/>
      <c r="B216" s="1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13"/>
      <c r="AH216" s="13"/>
      <c r="AI216" s="13"/>
      <c r="AJ216" s="13"/>
      <c r="AK216" s="13"/>
      <c r="AL216" s="13"/>
    </row>
    <row r="217" ht="14.25" customHeight="1">
      <c r="A217" s="13"/>
      <c r="B217" s="1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13"/>
      <c r="AH217" s="13"/>
      <c r="AI217" s="13"/>
      <c r="AJ217" s="13"/>
      <c r="AK217" s="13"/>
      <c r="AL217" s="13"/>
    </row>
    <row r="218" ht="14.25" customHeight="1">
      <c r="A218" s="13"/>
      <c r="B218" s="1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13"/>
      <c r="AH218" s="13"/>
      <c r="AI218" s="13"/>
      <c r="AJ218" s="13"/>
      <c r="AK218" s="13"/>
      <c r="AL218" s="13"/>
    </row>
    <row r="219" ht="14.25" customHeight="1">
      <c r="A219" s="13"/>
      <c r="B219" s="1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13"/>
      <c r="AH219" s="13"/>
      <c r="AI219" s="13"/>
      <c r="AJ219" s="13"/>
      <c r="AK219" s="13"/>
      <c r="AL219" s="13"/>
    </row>
    <row r="220" ht="14.25" customHeight="1">
      <c r="A220" s="13"/>
      <c r="B220" s="1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13"/>
      <c r="AH220" s="13"/>
      <c r="AI220" s="13"/>
      <c r="AJ220" s="13"/>
      <c r="AK220" s="13"/>
      <c r="AL220" s="13"/>
    </row>
    <row r="221" ht="14.25" customHeight="1">
      <c r="A221" s="13"/>
      <c r="B221" s="1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13"/>
      <c r="AH221" s="13"/>
      <c r="AI221" s="13"/>
      <c r="AJ221" s="13"/>
      <c r="AK221" s="13"/>
      <c r="AL221" s="13"/>
    </row>
    <row r="222" ht="14.25" customHeight="1">
      <c r="A222" s="13"/>
      <c r="B222" s="1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13"/>
      <c r="AH222" s="13"/>
      <c r="AI222" s="13"/>
      <c r="AJ222" s="13"/>
      <c r="AK222" s="13"/>
      <c r="AL222" s="13"/>
    </row>
    <row r="223" ht="14.25" customHeight="1">
      <c r="A223" s="13"/>
      <c r="B223" s="1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13"/>
      <c r="AH223" s="13"/>
      <c r="AI223" s="13"/>
      <c r="AJ223" s="13"/>
      <c r="AK223" s="13"/>
      <c r="AL223" s="13"/>
    </row>
    <row r="224" ht="14.25" customHeight="1">
      <c r="A224" s="13"/>
      <c r="B224" s="1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13"/>
      <c r="AH224" s="13"/>
      <c r="AI224" s="13"/>
      <c r="AJ224" s="13"/>
      <c r="AK224" s="13"/>
      <c r="AL224" s="13"/>
    </row>
    <row r="225" ht="14.25" customHeight="1">
      <c r="A225" s="13"/>
      <c r="B225" s="1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13"/>
      <c r="AH225" s="13"/>
      <c r="AI225" s="13"/>
      <c r="AJ225" s="13"/>
      <c r="AK225" s="13"/>
      <c r="AL225" s="13"/>
    </row>
    <row r="226" ht="14.25" customHeight="1">
      <c r="A226" s="13"/>
      <c r="B226" s="1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13"/>
      <c r="AH226" s="13"/>
      <c r="AI226" s="13"/>
      <c r="AJ226" s="13"/>
      <c r="AK226" s="13"/>
      <c r="AL226" s="13"/>
    </row>
    <row r="227" ht="14.25" customHeight="1">
      <c r="A227" s="13"/>
      <c r="B227" s="1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13"/>
      <c r="AH227" s="13"/>
      <c r="AI227" s="13"/>
      <c r="AJ227" s="13"/>
      <c r="AK227" s="13"/>
      <c r="AL227" s="13"/>
    </row>
    <row r="228" ht="14.25" customHeight="1">
      <c r="A228" s="13"/>
      <c r="B228" s="1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13"/>
      <c r="AH228" s="13"/>
      <c r="AI228" s="13"/>
      <c r="AJ228" s="13"/>
      <c r="AK228" s="13"/>
      <c r="AL228" s="13"/>
    </row>
    <row r="229" ht="14.25" customHeight="1">
      <c r="A229" s="13"/>
      <c r="B229" s="1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13"/>
      <c r="AH229" s="13"/>
      <c r="AI229" s="13"/>
      <c r="AJ229" s="13"/>
      <c r="AK229" s="13"/>
      <c r="AL229" s="13"/>
    </row>
    <row r="230" ht="14.25" customHeight="1">
      <c r="A230" s="13"/>
      <c r="B230" s="1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13"/>
      <c r="AH230" s="13"/>
      <c r="AI230" s="13"/>
      <c r="AJ230" s="13"/>
      <c r="AK230" s="13"/>
      <c r="AL230" s="13"/>
    </row>
    <row r="231" ht="14.25" customHeight="1">
      <c r="A231" s="13"/>
      <c r="B231" s="1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13"/>
      <c r="AH231" s="13"/>
      <c r="AI231" s="13"/>
      <c r="AJ231" s="13"/>
      <c r="AK231" s="13"/>
      <c r="AL231" s="13"/>
    </row>
    <row r="232" ht="14.25" customHeight="1">
      <c r="A232" s="13"/>
      <c r="B232" s="1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13"/>
      <c r="AH232" s="13"/>
      <c r="AI232" s="13"/>
      <c r="AJ232" s="13"/>
      <c r="AK232" s="13"/>
      <c r="AL232" s="13"/>
    </row>
    <row r="233" ht="14.25" customHeight="1">
      <c r="A233" s="13"/>
      <c r="B233" s="1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13"/>
      <c r="AH233" s="13"/>
      <c r="AI233" s="13"/>
      <c r="AJ233" s="13"/>
      <c r="AK233" s="13"/>
      <c r="AL233" s="13"/>
    </row>
    <row r="234" ht="14.25" customHeight="1">
      <c r="A234" s="13"/>
      <c r="B234" s="1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13"/>
      <c r="AH234" s="13"/>
      <c r="AI234" s="13"/>
      <c r="AJ234" s="13"/>
      <c r="AK234" s="13"/>
      <c r="AL234" s="13"/>
    </row>
    <row r="235" ht="14.25" customHeight="1">
      <c r="A235" s="13"/>
      <c r="B235" s="1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13"/>
      <c r="AH235" s="13"/>
      <c r="AI235" s="13"/>
      <c r="AJ235" s="13"/>
      <c r="AK235" s="13"/>
      <c r="AL235" s="13"/>
    </row>
    <row r="236" ht="14.25" customHeight="1">
      <c r="A236" s="13"/>
      <c r="B236" s="1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13"/>
      <c r="AH236" s="13"/>
      <c r="AI236" s="13"/>
      <c r="AJ236" s="13"/>
      <c r="AK236" s="13"/>
      <c r="AL236" s="13"/>
    </row>
    <row r="237" ht="14.25" customHeight="1">
      <c r="A237" s="13"/>
      <c r="B237" s="1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13"/>
      <c r="AH237" s="13"/>
      <c r="AI237" s="13"/>
      <c r="AJ237" s="13"/>
      <c r="AK237" s="13"/>
      <c r="AL237" s="13"/>
    </row>
    <row r="238" ht="14.25" customHeight="1">
      <c r="A238" s="13"/>
      <c r="B238" s="1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13"/>
      <c r="AH238" s="13"/>
      <c r="AI238" s="13"/>
      <c r="AJ238" s="13"/>
      <c r="AK238" s="13"/>
      <c r="AL238" s="13"/>
    </row>
    <row r="239" ht="14.25" customHeight="1">
      <c r="A239" s="13"/>
      <c r="B239" s="1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13"/>
      <c r="AH239" s="13"/>
      <c r="AI239" s="13"/>
      <c r="AJ239" s="13"/>
      <c r="AK239" s="13"/>
      <c r="AL239" s="13"/>
    </row>
    <row r="240" ht="14.25" customHeight="1">
      <c r="A240" s="13"/>
      <c r="B240" s="1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13"/>
      <c r="AH240" s="13"/>
      <c r="AI240" s="13"/>
      <c r="AJ240" s="13"/>
      <c r="AK240" s="13"/>
      <c r="AL240" s="13"/>
    </row>
    <row r="241" ht="14.25" customHeight="1">
      <c r="A241" s="13"/>
      <c r="B241" s="1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13"/>
      <c r="AH241" s="13"/>
      <c r="AI241" s="13"/>
      <c r="AJ241" s="13"/>
      <c r="AK241" s="13"/>
      <c r="AL241" s="13"/>
    </row>
    <row r="242" ht="14.25" customHeight="1">
      <c r="A242" s="13"/>
      <c r="B242" s="1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13"/>
      <c r="AH242" s="13"/>
      <c r="AI242" s="13"/>
      <c r="AJ242" s="13"/>
      <c r="AK242" s="13"/>
      <c r="AL242" s="13"/>
    </row>
    <row r="243" ht="14.25" customHeight="1">
      <c r="A243" s="13"/>
      <c r="B243" s="1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13"/>
      <c r="AH243" s="13"/>
      <c r="AI243" s="13"/>
      <c r="AJ243" s="13"/>
      <c r="AK243" s="13"/>
      <c r="AL243" s="13"/>
    </row>
    <row r="244" ht="14.25" customHeight="1">
      <c r="A244" s="13"/>
      <c r="B244" s="1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13"/>
      <c r="AH244" s="13"/>
      <c r="AI244" s="13"/>
      <c r="AJ244" s="13"/>
      <c r="AK244" s="13"/>
      <c r="AL244" s="13"/>
    </row>
    <row r="245" ht="14.25" customHeight="1">
      <c r="A245" s="13"/>
      <c r="B245" s="1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13"/>
      <c r="AH245" s="13"/>
      <c r="AI245" s="13"/>
      <c r="AJ245" s="13"/>
      <c r="AK245" s="13"/>
      <c r="AL245" s="13"/>
    </row>
    <row r="246" ht="14.25" customHeight="1">
      <c r="A246" s="13"/>
      <c r="B246" s="1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13"/>
      <c r="AH246" s="13"/>
      <c r="AI246" s="13"/>
      <c r="AJ246" s="13"/>
      <c r="AK246" s="13"/>
      <c r="AL246" s="13"/>
    </row>
    <row r="247" ht="14.25" customHeight="1">
      <c r="A247" s="13"/>
      <c r="B247" s="1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13"/>
      <c r="AH247" s="13"/>
      <c r="AI247" s="13"/>
      <c r="AJ247" s="13"/>
      <c r="AK247" s="13"/>
      <c r="AL247" s="13"/>
    </row>
    <row r="248" ht="14.25" customHeight="1">
      <c r="A248" s="13"/>
      <c r="B248" s="1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13"/>
      <c r="AH248" s="13"/>
      <c r="AI248" s="13"/>
      <c r="AJ248" s="13"/>
      <c r="AK248" s="13"/>
      <c r="AL248" s="13"/>
    </row>
    <row r="249" ht="14.25" customHeight="1">
      <c r="A249" s="13"/>
      <c r="B249" s="1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13"/>
      <c r="AH249" s="13"/>
      <c r="AI249" s="13"/>
      <c r="AJ249" s="13"/>
      <c r="AK249" s="13"/>
      <c r="AL249" s="13"/>
    </row>
    <row r="250" ht="14.25" customHeight="1">
      <c r="A250" s="13"/>
      <c r="B250" s="1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13"/>
      <c r="AH250" s="13"/>
      <c r="AI250" s="13"/>
      <c r="AJ250" s="13"/>
      <c r="AK250" s="13"/>
      <c r="AL250" s="13"/>
    </row>
    <row r="251" ht="14.25" customHeight="1">
      <c r="A251" s="13"/>
      <c r="B251" s="1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13"/>
      <c r="AH251" s="13"/>
      <c r="AI251" s="13"/>
      <c r="AJ251" s="13"/>
      <c r="AK251" s="13"/>
      <c r="AL251" s="13"/>
    </row>
    <row r="252" ht="14.25" customHeight="1">
      <c r="A252" s="13"/>
      <c r="B252" s="1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13"/>
      <c r="AH252" s="13"/>
      <c r="AI252" s="13"/>
      <c r="AJ252" s="13"/>
      <c r="AK252" s="13"/>
      <c r="AL252" s="13"/>
    </row>
    <row r="253" ht="14.25" customHeight="1">
      <c r="A253" s="13"/>
      <c r="B253" s="1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13"/>
      <c r="AH253" s="13"/>
      <c r="AI253" s="13"/>
      <c r="AJ253" s="13"/>
      <c r="AK253" s="13"/>
      <c r="AL253" s="13"/>
    </row>
    <row r="254" ht="14.25" customHeight="1">
      <c r="A254" s="13"/>
      <c r="B254" s="1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13"/>
      <c r="AH254" s="13"/>
      <c r="AI254" s="13"/>
      <c r="AJ254" s="13"/>
      <c r="AK254" s="13"/>
      <c r="AL254" s="13"/>
    </row>
    <row r="255" ht="14.25" customHeight="1">
      <c r="A255" s="13"/>
      <c r="B255" s="1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13"/>
      <c r="AH255" s="13"/>
      <c r="AI255" s="13"/>
      <c r="AJ255" s="13"/>
      <c r="AK255" s="13"/>
      <c r="AL255" s="13"/>
    </row>
    <row r="256" ht="14.25" customHeight="1">
      <c r="A256" s="13"/>
      <c r="B256" s="1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13"/>
      <c r="AH256" s="13"/>
      <c r="AI256" s="13"/>
      <c r="AJ256" s="13"/>
      <c r="AK256" s="13"/>
      <c r="AL256" s="13"/>
    </row>
    <row r="257" ht="14.25" customHeight="1">
      <c r="A257" s="13"/>
      <c r="B257" s="1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13"/>
      <c r="AH257" s="13"/>
      <c r="AI257" s="13"/>
      <c r="AJ257" s="13"/>
      <c r="AK257" s="13"/>
      <c r="AL257" s="13"/>
    </row>
    <row r="258" ht="14.25" customHeight="1">
      <c r="A258" s="13"/>
      <c r="B258" s="1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13"/>
      <c r="AH258" s="13"/>
      <c r="AI258" s="13"/>
      <c r="AJ258" s="13"/>
      <c r="AK258" s="13"/>
      <c r="AL258" s="13"/>
    </row>
    <row r="259" ht="14.25" customHeight="1">
      <c r="A259" s="13"/>
      <c r="B259" s="1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13"/>
      <c r="AH259" s="13"/>
      <c r="AI259" s="13"/>
      <c r="AJ259" s="13"/>
      <c r="AK259" s="13"/>
      <c r="AL259" s="13"/>
    </row>
    <row r="260" ht="14.25" customHeight="1">
      <c r="A260" s="13"/>
      <c r="B260" s="1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13"/>
      <c r="AH260" s="13"/>
      <c r="AI260" s="13"/>
      <c r="AJ260" s="13"/>
      <c r="AK260" s="13"/>
      <c r="AL260" s="13"/>
    </row>
    <row r="261" ht="14.25" customHeight="1">
      <c r="A261" s="13"/>
      <c r="B261" s="1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13"/>
      <c r="AH261" s="13"/>
      <c r="AI261" s="13"/>
      <c r="AJ261" s="13"/>
      <c r="AK261" s="13"/>
      <c r="AL261" s="13"/>
    </row>
    <row r="262" ht="14.25" customHeight="1">
      <c r="A262" s="13"/>
      <c r="B262" s="1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13"/>
      <c r="AH262" s="13"/>
      <c r="AI262" s="13"/>
      <c r="AJ262" s="13"/>
      <c r="AK262" s="13"/>
      <c r="AL262" s="13"/>
    </row>
    <row r="263" ht="14.25" customHeight="1">
      <c r="A263" s="13"/>
      <c r="B263" s="1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13"/>
      <c r="AH263" s="13"/>
      <c r="AI263" s="13"/>
      <c r="AJ263" s="13"/>
      <c r="AK263" s="13"/>
      <c r="AL263" s="13"/>
    </row>
    <row r="264" ht="14.25" customHeight="1">
      <c r="A264" s="13"/>
      <c r="B264" s="1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13"/>
      <c r="AH264" s="13"/>
      <c r="AI264" s="13"/>
      <c r="AJ264" s="13"/>
      <c r="AK264" s="13"/>
      <c r="AL264" s="13"/>
    </row>
    <row r="265" ht="14.25" customHeight="1">
      <c r="A265" s="13"/>
      <c r="B265" s="1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13"/>
      <c r="AH265" s="13"/>
      <c r="AI265" s="13"/>
      <c r="AJ265" s="13"/>
      <c r="AK265" s="13"/>
      <c r="AL265" s="13"/>
    </row>
    <row r="266" ht="14.25" customHeight="1">
      <c r="A266" s="13"/>
      <c r="B266" s="1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13"/>
      <c r="AH266" s="13"/>
      <c r="AI266" s="13"/>
      <c r="AJ266" s="13"/>
      <c r="AK266" s="13"/>
      <c r="AL266" s="13"/>
    </row>
    <row r="267" ht="14.25" customHeight="1">
      <c r="A267" s="13"/>
      <c r="B267" s="1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13"/>
      <c r="AH267" s="13"/>
      <c r="AI267" s="13"/>
      <c r="AJ267" s="13"/>
      <c r="AK267" s="13"/>
      <c r="AL267" s="13"/>
    </row>
    <row r="268" ht="14.25" customHeight="1">
      <c r="A268" s="13"/>
      <c r="B268" s="1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13"/>
      <c r="AH268" s="13"/>
      <c r="AI268" s="13"/>
      <c r="AJ268" s="13"/>
      <c r="AK268" s="13"/>
      <c r="AL268" s="13"/>
    </row>
    <row r="269" ht="14.25" customHeight="1">
      <c r="A269" s="13"/>
      <c r="B269" s="1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13"/>
      <c r="AH269" s="13"/>
      <c r="AI269" s="13"/>
      <c r="AJ269" s="13"/>
      <c r="AK269" s="13"/>
      <c r="AL269" s="13"/>
    </row>
    <row r="270" ht="14.25" customHeight="1">
      <c r="A270" s="13"/>
      <c r="B270" s="1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13"/>
      <c r="AH270" s="13"/>
      <c r="AI270" s="13"/>
      <c r="AJ270" s="13"/>
      <c r="AK270" s="13"/>
      <c r="AL270" s="13"/>
    </row>
    <row r="271" ht="14.25" customHeight="1">
      <c r="A271" s="13"/>
      <c r="B271" s="1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13"/>
      <c r="AH271" s="13"/>
      <c r="AI271" s="13"/>
      <c r="AJ271" s="13"/>
      <c r="AK271" s="13"/>
      <c r="AL271" s="13"/>
    </row>
    <row r="272" ht="14.25" customHeight="1">
      <c r="A272" s="13"/>
      <c r="B272" s="1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13"/>
      <c r="AH272" s="13"/>
      <c r="AI272" s="13"/>
      <c r="AJ272" s="13"/>
      <c r="AK272" s="13"/>
      <c r="AL272" s="13"/>
    </row>
    <row r="273" ht="14.25" customHeight="1">
      <c r="A273" s="13"/>
      <c r="B273" s="1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13"/>
      <c r="AH273" s="13"/>
      <c r="AI273" s="13"/>
      <c r="AJ273" s="13"/>
      <c r="AK273" s="13"/>
      <c r="AL273" s="13"/>
    </row>
    <row r="274" ht="14.25" customHeight="1">
      <c r="A274" s="13"/>
      <c r="B274" s="1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13"/>
      <c r="AH274" s="13"/>
      <c r="AI274" s="13"/>
      <c r="AJ274" s="13"/>
      <c r="AK274" s="13"/>
      <c r="AL274" s="13"/>
    </row>
    <row r="275" ht="14.25" customHeight="1">
      <c r="A275" s="13"/>
      <c r="B275" s="1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13"/>
      <c r="AH275" s="13"/>
      <c r="AI275" s="13"/>
      <c r="AJ275" s="13"/>
      <c r="AK275" s="13"/>
      <c r="AL275" s="13"/>
    </row>
    <row r="276" ht="14.25" customHeight="1">
      <c r="A276" s="13"/>
      <c r="B276" s="1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13"/>
      <c r="AH276" s="13"/>
      <c r="AI276" s="13"/>
      <c r="AJ276" s="13"/>
      <c r="AK276" s="13"/>
      <c r="AL276" s="13"/>
    </row>
    <row r="277" ht="14.25" customHeight="1">
      <c r="A277" s="13"/>
      <c r="B277" s="1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13"/>
      <c r="AH277" s="13"/>
      <c r="AI277" s="13"/>
      <c r="AJ277" s="13"/>
      <c r="AK277" s="13"/>
      <c r="AL277" s="13"/>
    </row>
    <row r="278" ht="14.25" customHeight="1">
      <c r="A278" s="13"/>
      <c r="B278" s="1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13"/>
      <c r="AH278" s="13"/>
      <c r="AI278" s="13"/>
      <c r="AJ278" s="13"/>
      <c r="AK278" s="13"/>
      <c r="AL278" s="13"/>
    </row>
    <row r="279" ht="14.25" customHeight="1">
      <c r="A279" s="13"/>
      <c r="B279" s="1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13"/>
      <c r="AH279" s="13"/>
      <c r="AI279" s="13"/>
      <c r="AJ279" s="13"/>
      <c r="AK279" s="13"/>
      <c r="AL279" s="13"/>
    </row>
    <row r="280" ht="14.25" customHeight="1">
      <c r="A280" s="13"/>
      <c r="B280" s="1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13"/>
      <c r="AH280" s="13"/>
      <c r="AI280" s="13"/>
      <c r="AJ280" s="13"/>
      <c r="AK280" s="13"/>
      <c r="AL280" s="13"/>
    </row>
    <row r="281" ht="14.25" customHeight="1">
      <c r="A281" s="13"/>
      <c r="B281" s="1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13"/>
      <c r="AH281" s="13"/>
      <c r="AI281" s="13"/>
      <c r="AJ281" s="13"/>
      <c r="AK281" s="13"/>
      <c r="AL281" s="13"/>
    </row>
    <row r="282" ht="14.25" customHeight="1">
      <c r="A282" s="13"/>
      <c r="B282" s="1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13"/>
      <c r="AH282" s="13"/>
      <c r="AI282" s="13"/>
      <c r="AJ282" s="13"/>
      <c r="AK282" s="13"/>
      <c r="AL282" s="13"/>
    </row>
    <row r="283" ht="14.25" customHeight="1">
      <c r="A283" s="13"/>
      <c r="B283" s="1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13"/>
      <c r="AH283" s="13"/>
      <c r="AI283" s="13"/>
      <c r="AJ283" s="13"/>
      <c r="AK283" s="13"/>
      <c r="AL283" s="13"/>
    </row>
    <row r="284" ht="14.25" customHeight="1">
      <c r="A284" s="13"/>
      <c r="B284" s="1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13"/>
      <c r="AH284" s="13"/>
      <c r="AI284" s="13"/>
      <c r="AJ284" s="13"/>
      <c r="AK284" s="13"/>
      <c r="AL284" s="13"/>
    </row>
    <row r="285" ht="14.25" customHeight="1">
      <c r="A285" s="13"/>
      <c r="B285" s="1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13"/>
      <c r="AH285" s="13"/>
      <c r="AI285" s="13"/>
      <c r="AJ285" s="13"/>
      <c r="AK285" s="13"/>
      <c r="AL285" s="13"/>
    </row>
    <row r="286" ht="14.25" customHeight="1">
      <c r="A286" s="13"/>
      <c r="B286" s="1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13"/>
      <c r="AH286" s="13"/>
      <c r="AI286" s="13"/>
      <c r="AJ286" s="13"/>
      <c r="AK286" s="13"/>
      <c r="AL286" s="13"/>
    </row>
    <row r="287" ht="14.25" customHeight="1">
      <c r="A287" s="13"/>
      <c r="B287" s="1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13"/>
      <c r="AH287" s="13"/>
      <c r="AI287" s="13"/>
      <c r="AJ287" s="13"/>
      <c r="AK287" s="13"/>
      <c r="AL287" s="13"/>
    </row>
    <row r="288" ht="14.25" customHeight="1">
      <c r="A288" s="13"/>
      <c r="B288" s="1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13"/>
      <c r="AH288" s="13"/>
      <c r="AI288" s="13"/>
      <c r="AJ288" s="13"/>
      <c r="AK288" s="13"/>
      <c r="AL288" s="13"/>
    </row>
    <row r="289" ht="14.25" customHeight="1">
      <c r="A289" s="13"/>
      <c r="B289" s="1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13"/>
      <c r="AH289" s="13"/>
      <c r="AI289" s="13"/>
      <c r="AJ289" s="13"/>
      <c r="AK289" s="13"/>
      <c r="AL289" s="13"/>
    </row>
    <row r="290" ht="14.25" customHeight="1">
      <c r="A290" s="13"/>
      <c r="B290" s="1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13"/>
      <c r="AH290" s="13"/>
      <c r="AI290" s="13"/>
      <c r="AJ290" s="13"/>
      <c r="AK290" s="13"/>
      <c r="AL290" s="13"/>
    </row>
    <row r="291" ht="14.25" customHeight="1">
      <c r="A291" s="13"/>
      <c r="B291" s="1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13"/>
      <c r="AH291" s="13"/>
      <c r="AI291" s="13"/>
      <c r="AJ291" s="13"/>
      <c r="AK291" s="13"/>
      <c r="AL291" s="13"/>
    </row>
    <row r="292" ht="14.25" customHeight="1">
      <c r="A292" s="13"/>
      <c r="B292" s="1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13"/>
      <c r="AH292" s="13"/>
      <c r="AI292" s="13"/>
      <c r="AJ292" s="13"/>
      <c r="AK292" s="13"/>
      <c r="AL292" s="13"/>
    </row>
    <row r="293" ht="14.25" customHeight="1">
      <c r="A293" s="13"/>
      <c r="B293" s="1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13"/>
      <c r="AH293" s="13"/>
      <c r="AI293" s="13"/>
      <c r="AJ293" s="13"/>
      <c r="AK293" s="13"/>
      <c r="AL293" s="13"/>
    </row>
    <row r="294" ht="14.25" customHeight="1">
      <c r="A294" s="13"/>
      <c r="B294" s="1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13"/>
      <c r="AH294" s="13"/>
      <c r="AI294" s="13"/>
      <c r="AJ294" s="13"/>
      <c r="AK294" s="13"/>
      <c r="AL294" s="13"/>
    </row>
    <row r="295" ht="14.25" customHeight="1">
      <c r="A295" s="13"/>
      <c r="B295" s="1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13"/>
      <c r="AH295" s="13"/>
      <c r="AI295" s="13"/>
      <c r="AJ295" s="13"/>
      <c r="AK295" s="13"/>
      <c r="AL295" s="13"/>
    </row>
    <row r="296" ht="14.25" customHeight="1">
      <c r="A296" s="13"/>
      <c r="B296" s="1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13"/>
      <c r="AH296" s="13"/>
      <c r="AI296" s="13"/>
      <c r="AJ296" s="13"/>
      <c r="AK296" s="13"/>
      <c r="AL296" s="13"/>
    </row>
    <row r="297" ht="14.25" customHeight="1">
      <c r="A297" s="13"/>
      <c r="B297" s="1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13"/>
      <c r="AH297" s="13"/>
      <c r="AI297" s="13"/>
      <c r="AJ297" s="13"/>
      <c r="AK297" s="13"/>
      <c r="AL297" s="13"/>
    </row>
    <row r="298" ht="14.25" customHeight="1">
      <c r="A298" s="13"/>
      <c r="B298" s="1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13"/>
      <c r="AH298" s="13"/>
      <c r="AI298" s="13"/>
      <c r="AJ298" s="13"/>
      <c r="AK298" s="13"/>
      <c r="AL298" s="13"/>
    </row>
    <row r="299" ht="14.25" customHeight="1">
      <c r="A299" s="13"/>
      <c r="B299" s="1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13"/>
      <c r="AH299" s="13"/>
      <c r="AI299" s="13"/>
      <c r="AJ299" s="13"/>
      <c r="AK299" s="13"/>
      <c r="AL299" s="13"/>
    </row>
    <row r="300" ht="14.25" customHeight="1">
      <c r="A300" s="13"/>
      <c r="B300" s="1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13"/>
      <c r="AH300" s="13"/>
      <c r="AI300" s="13"/>
      <c r="AJ300" s="13"/>
      <c r="AK300" s="13"/>
      <c r="AL300" s="13"/>
    </row>
    <row r="301" ht="14.25" customHeight="1">
      <c r="A301" s="13"/>
      <c r="B301" s="1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13"/>
      <c r="AH301" s="13"/>
      <c r="AI301" s="13"/>
      <c r="AJ301" s="13"/>
      <c r="AK301" s="13"/>
      <c r="AL301" s="13"/>
    </row>
    <row r="302" ht="14.25" customHeight="1">
      <c r="A302" s="13"/>
      <c r="B302" s="1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13"/>
      <c r="AH302" s="13"/>
      <c r="AI302" s="13"/>
      <c r="AJ302" s="13"/>
      <c r="AK302" s="13"/>
      <c r="AL302" s="13"/>
    </row>
    <row r="303" ht="14.25" customHeight="1">
      <c r="A303" s="13"/>
      <c r="B303" s="1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13"/>
      <c r="AH303" s="13"/>
      <c r="AI303" s="13"/>
      <c r="AJ303" s="13"/>
      <c r="AK303" s="13"/>
      <c r="AL303" s="13"/>
    </row>
    <row r="304" ht="14.25" customHeight="1">
      <c r="A304" s="13"/>
      <c r="B304" s="1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13"/>
      <c r="AH304" s="13"/>
      <c r="AI304" s="13"/>
      <c r="AJ304" s="13"/>
      <c r="AK304" s="13"/>
      <c r="AL304" s="13"/>
    </row>
    <row r="305" ht="14.25" customHeight="1">
      <c r="A305" s="13"/>
      <c r="B305" s="1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13"/>
      <c r="AH305" s="13"/>
      <c r="AI305" s="13"/>
      <c r="AJ305" s="13"/>
      <c r="AK305" s="13"/>
      <c r="AL305" s="13"/>
    </row>
    <row r="306" ht="14.25" customHeight="1">
      <c r="A306" s="13"/>
      <c r="B306" s="1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13"/>
      <c r="AH306" s="13"/>
      <c r="AI306" s="13"/>
      <c r="AJ306" s="13"/>
      <c r="AK306" s="13"/>
      <c r="AL306" s="13"/>
    </row>
    <row r="307" ht="14.25" customHeight="1">
      <c r="A307" s="13"/>
      <c r="B307" s="1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13"/>
      <c r="AH307" s="13"/>
      <c r="AI307" s="13"/>
      <c r="AJ307" s="13"/>
      <c r="AK307" s="13"/>
      <c r="AL307" s="13"/>
    </row>
    <row r="308" ht="14.25" customHeight="1">
      <c r="A308" s="13"/>
      <c r="B308" s="1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13"/>
      <c r="AH308" s="13"/>
      <c r="AI308" s="13"/>
      <c r="AJ308" s="13"/>
      <c r="AK308" s="13"/>
      <c r="AL308" s="13"/>
    </row>
    <row r="309" ht="14.25" customHeight="1">
      <c r="A309" s="13"/>
      <c r="B309" s="1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13"/>
      <c r="AH309" s="13"/>
      <c r="AI309" s="13"/>
      <c r="AJ309" s="13"/>
      <c r="AK309" s="13"/>
      <c r="AL309" s="13"/>
    </row>
    <row r="310" ht="14.25" customHeight="1">
      <c r="A310" s="13"/>
      <c r="B310" s="1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13"/>
      <c r="AH310" s="13"/>
      <c r="AI310" s="13"/>
      <c r="AJ310" s="13"/>
      <c r="AK310" s="13"/>
      <c r="AL310" s="13"/>
    </row>
    <row r="311" ht="14.25" customHeight="1">
      <c r="A311" s="13"/>
      <c r="B311" s="1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13"/>
      <c r="AH311" s="13"/>
      <c r="AI311" s="13"/>
      <c r="AJ311" s="13"/>
      <c r="AK311" s="13"/>
      <c r="AL311" s="13"/>
    </row>
    <row r="312" ht="14.25" customHeight="1">
      <c r="A312" s="13"/>
      <c r="B312" s="1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13"/>
      <c r="AH312" s="13"/>
      <c r="AI312" s="13"/>
      <c r="AJ312" s="13"/>
      <c r="AK312" s="13"/>
      <c r="AL312" s="13"/>
    </row>
    <row r="313" ht="14.25" customHeight="1">
      <c r="A313" s="13"/>
      <c r="B313" s="1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13"/>
      <c r="AH313" s="13"/>
      <c r="AI313" s="13"/>
      <c r="AJ313" s="13"/>
      <c r="AK313" s="13"/>
      <c r="AL313" s="13"/>
    </row>
    <row r="314" ht="14.25" customHeight="1">
      <c r="A314" s="13"/>
      <c r="B314" s="1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13"/>
      <c r="AH314" s="13"/>
      <c r="AI314" s="13"/>
      <c r="AJ314" s="13"/>
      <c r="AK314" s="13"/>
      <c r="AL314" s="13"/>
    </row>
    <row r="315" ht="14.25" customHeight="1">
      <c r="A315" s="13"/>
      <c r="B315" s="1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13"/>
      <c r="AH315" s="13"/>
      <c r="AI315" s="13"/>
      <c r="AJ315" s="13"/>
      <c r="AK315" s="13"/>
      <c r="AL315" s="13"/>
    </row>
    <row r="316" ht="14.25" customHeight="1">
      <c r="A316" s="13"/>
      <c r="B316" s="1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13"/>
      <c r="AH316" s="13"/>
      <c r="AI316" s="13"/>
      <c r="AJ316" s="13"/>
      <c r="AK316" s="13"/>
      <c r="AL316" s="13"/>
    </row>
    <row r="317" ht="14.25" customHeight="1">
      <c r="A317" s="13"/>
      <c r="B317" s="1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13"/>
      <c r="AH317" s="13"/>
      <c r="AI317" s="13"/>
      <c r="AJ317" s="13"/>
      <c r="AK317" s="13"/>
      <c r="AL317" s="13"/>
    </row>
    <row r="318" ht="14.25" customHeight="1">
      <c r="A318" s="13"/>
      <c r="B318" s="1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13"/>
      <c r="AH318" s="13"/>
      <c r="AI318" s="13"/>
      <c r="AJ318" s="13"/>
      <c r="AK318" s="13"/>
      <c r="AL318" s="13"/>
    </row>
    <row r="319" ht="14.25" customHeight="1">
      <c r="A319" s="13"/>
      <c r="B319" s="1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13"/>
      <c r="AH319" s="13"/>
      <c r="AI319" s="13"/>
      <c r="AJ319" s="13"/>
      <c r="AK319" s="13"/>
      <c r="AL319" s="13"/>
    </row>
    <row r="320" ht="14.25" customHeight="1">
      <c r="A320" s="13"/>
      <c r="B320" s="1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13"/>
      <c r="AH320" s="13"/>
      <c r="AI320" s="13"/>
      <c r="AJ320" s="13"/>
      <c r="AK320" s="13"/>
      <c r="AL320" s="13"/>
    </row>
    <row r="321" ht="14.25" customHeight="1">
      <c r="A321" s="13"/>
      <c r="B321" s="1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13"/>
      <c r="AH321" s="13"/>
      <c r="AI321" s="13"/>
      <c r="AJ321" s="13"/>
      <c r="AK321" s="13"/>
      <c r="AL321" s="13"/>
    </row>
    <row r="322" ht="14.25" customHeight="1">
      <c r="A322" s="13"/>
      <c r="B322" s="1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13"/>
      <c r="AH322" s="13"/>
      <c r="AI322" s="13"/>
      <c r="AJ322" s="13"/>
      <c r="AK322" s="13"/>
      <c r="AL322" s="13"/>
    </row>
    <row r="323" ht="14.25" customHeight="1">
      <c r="A323" s="13"/>
      <c r="B323" s="1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13"/>
      <c r="AH323" s="13"/>
      <c r="AI323" s="13"/>
      <c r="AJ323" s="13"/>
      <c r="AK323" s="13"/>
      <c r="AL323" s="13"/>
    </row>
    <row r="324" ht="14.25" customHeight="1">
      <c r="A324" s="13"/>
      <c r="B324" s="1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13"/>
      <c r="AH324" s="13"/>
      <c r="AI324" s="13"/>
      <c r="AJ324" s="13"/>
      <c r="AK324" s="13"/>
      <c r="AL324" s="13"/>
    </row>
  </sheetData>
  <mergeCells count="6">
    <mergeCell ref="A120:D120"/>
    <mergeCell ref="F1:Q1"/>
    <mergeCell ref="A94:D94"/>
    <mergeCell ref="A105:D105"/>
    <mergeCell ref="A109:D109"/>
    <mergeCell ref="A116:D116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1.89"/>
    <col customWidth="1" min="2" max="2" width="4.33"/>
    <col customWidth="1" min="3" max="3" width="11.33"/>
    <col customWidth="1" min="4" max="4" width="10.67"/>
    <col customWidth="1" min="5" max="5" width="8.89"/>
    <col customWidth="1" min="6" max="6" width="11.33"/>
    <col customWidth="1" min="7" max="7" width="10.67"/>
    <col customWidth="1" min="8" max="22" width="8.89"/>
  </cols>
  <sheetData>
    <row r="1" ht="14.25" customHeight="1">
      <c r="A1" s="82"/>
      <c r="B1" s="82"/>
      <c r="C1" s="127" t="s">
        <v>478</v>
      </c>
      <c r="D1" s="6"/>
      <c r="E1" s="116" t="s">
        <v>389</v>
      </c>
      <c r="F1" s="127" t="s">
        <v>479</v>
      </c>
      <c r="G1" s="6"/>
      <c r="H1" s="141" t="s">
        <v>480</v>
      </c>
      <c r="I1" s="142">
        <v>46387.0</v>
      </c>
      <c r="J1" s="143">
        <v>46026.0</v>
      </c>
      <c r="K1" s="144">
        <v>46027.0</v>
      </c>
      <c r="L1" s="145">
        <v>46028.0</v>
      </c>
      <c r="M1" s="144">
        <v>46030.0</v>
      </c>
      <c r="N1" s="143">
        <v>46033.0</v>
      </c>
      <c r="O1" s="146">
        <v>46034.0</v>
      </c>
      <c r="P1" s="147" t="s">
        <v>481</v>
      </c>
      <c r="Q1" s="148">
        <v>46035.0</v>
      </c>
      <c r="R1" s="149" t="s">
        <v>482</v>
      </c>
      <c r="S1" s="150">
        <v>46036.0</v>
      </c>
      <c r="T1" s="151" t="s">
        <v>476</v>
      </c>
      <c r="U1" s="152" t="s">
        <v>477</v>
      </c>
      <c r="V1" s="149" t="s">
        <v>481</v>
      </c>
    </row>
    <row r="2" ht="14.25" customHeight="1">
      <c r="A2" s="82"/>
      <c r="B2" s="82"/>
      <c r="C2" s="72" t="s">
        <v>435</v>
      </c>
      <c r="D2" s="72" t="s">
        <v>436</v>
      </c>
      <c r="E2" s="116"/>
      <c r="F2" s="72" t="s">
        <v>435</v>
      </c>
      <c r="G2" s="72" t="s">
        <v>436</v>
      </c>
      <c r="H2" s="141"/>
      <c r="I2" s="153"/>
      <c r="J2" s="154"/>
      <c r="K2" s="155"/>
      <c r="L2" s="156"/>
      <c r="M2" s="155"/>
      <c r="N2" s="154"/>
      <c r="O2" s="157"/>
      <c r="P2" s="158"/>
      <c r="Q2" s="159"/>
      <c r="R2" s="160"/>
      <c r="S2" s="161"/>
      <c r="T2" s="162"/>
      <c r="U2" s="159"/>
      <c r="V2" s="160"/>
    </row>
    <row r="3" ht="14.25" customHeight="1">
      <c r="A3" s="15" t="s">
        <v>0</v>
      </c>
      <c r="B3" s="124" t="str">
        <f t="array" ref="B3:B87">TRANSPOSE('Raw material'!C3:CI3)</f>
        <v>0</v>
      </c>
      <c r="C3" s="72" t="str">
        <f>Package!C3</f>
        <v>0</v>
      </c>
      <c r="D3" s="72" t="str">
        <f>Package!D3</f>
        <v/>
      </c>
      <c r="E3" s="116"/>
      <c r="F3" s="72">
        <v>884.0</v>
      </c>
      <c r="G3" s="72"/>
      <c r="H3" s="141" t="str">
        <f t="shared" ref="H3:H87" si="1">F3-C3</f>
        <v>884</v>
      </c>
      <c r="I3" s="153" t="str">
        <f>F3-163</f>
        <v>721</v>
      </c>
      <c r="J3" s="154"/>
      <c r="K3" s="155"/>
      <c r="L3" s="156"/>
      <c r="M3" s="155"/>
      <c r="N3" s="154"/>
      <c r="O3" s="157"/>
      <c r="P3" s="158"/>
      <c r="Q3" s="159"/>
      <c r="R3" s="160"/>
      <c r="S3" s="161" t="str">
        <f>I3-162</f>
        <v>559</v>
      </c>
      <c r="T3" s="162"/>
      <c r="U3" s="159"/>
      <c r="V3" s="160"/>
    </row>
    <row r="4" ht="14.25" customHeight="1">
      <c r="A4" s="16" t="s">
        <v>1</v>
      </c>
      <c r="B4" s="124">
        <v>3.0</v>
      </c>
      <c r="C4" s="72" t="str">
        <f>Package!C4</f>
        <v>297</v>
      </c>
      <c r="D4" s="72" t="str">
        <f>Package!D4</f>
        <v/>
      </c>
      <c r="E4" s="116"/>
      <c r="F4" s="72">
        <v>1590.0</v>
      </c>
      <c r="G4" s="72"/>
      <c r="H4" s="141" t="str">
        <f t="shared" si="1"/>
        <v>1293</v>
      </c>
      <c r="I4" s="153"/>
      <c r="J4" s="154"/>
      <c r="K4" s="155"/>
      <c r="L4" s="156" t="str">
        <f>F4-99</f>
        <v>1491</v>
      </c>
      <c r="M4" s="155"/>
      <c r="N4" s="154"/>
      <c r="O4" s="157"/>
      <c r="P4" s="158"/>
      <c r="Q4" s="159"/>
      <c r="R4" s="160"/>
      <c r="S4" s="161"/>
      <c r="T4" s="162" t="str">
        <f>L4-100</f>
        <v>1391</v>
      </c>
      <c r="U4" s="159"/>
      <c r="V4" s="160"/>
    </row>
    <row r="5" ht="14.25" customHeight="1">
      <c r="A5" s="15" t="s">
        <v>2</v>
      </c>
      <c r="B5" s="124">
        <v>5.0</v>
      </c>
      <c r="C5" s="72" t="str">
        <f>Package!C5</f>
        <v>2425</v>
      </c>
      <c r="D5" s="72" t="str">
        <f>Package!D5</f>
        <v/>
      </c>
      <c r="E5" s="116"/>
      <c r="F5" s="72">
        <v>4486.0</v>
      </c>
      <c r="G5" s="72"/>
      <c r="H5" s="141" t="str">
        <f t="shared" si="1"/>
        <v>2061</v>
      </c>
      <c r="I5" s="153"/>
      <c r="J5" s="154"/>
      <c r="K5" s="155" t="str">
        <f>F5-1465</f>
        <v>3021</v>
      </c>
      <c r="L5" s="156"/>
      <c r="M5" s="155"/>
      <c r="N5" s="154"/>
      <c r="O5" s="157"/>
      <c r="P5" s="158"/>
      <c r="Q5" s="159"/>
      <c r="R5" s="160"/>
      <c r="S5" s="161"/>
      <c r="T5" s="162" t="str">
        <f>K5-980</f>
        <v>2041</v>
      </c>
      <c r="U5" s="159"/>
      <c r="V5" s="160"/>
    </row>
    <row r="6" ht="14.25" customHeight="1">
      <c r="A6" s="16" t="s">
        <v>3</v>
      </c>
      <c r="B6" s="14">
        <v>2.0</v>
      </c>
      <c r="C6" s="72" t="str">
        <f>Package!C6</f>
        <v>1080</v>
      </c>
      <c r="D6" s="72" t="str">
        <f>Package!D6</f>
        <v/>
      </c>
      <c r="E6" s="116"/>
      <c r="F6" s="72">
        <v>430.0</v>
      </c>
      <c r="G6" s="72"/>
      <c r="H6" s="13" t="str">
        <f t="shared" si="1"/>
        <v>-650</v>
      </c>
      <c r="I6" s="153"/>
      <c r="J6" s="154"/>
      <c r="K6" s="155"/>
      <c r="L6" s="156"/>
      <c r="M6" s="155"/>
      <c r="N6" s="154"/>
      <c r="O6" s="157"/>
      <c r="P6" s="158"/>
      <c r="Q6" s="159"/>
      <c r="R6" s="160"/>
      <c r="S6" s="161"/>
      <c r="T6" s="162"/>
      <c r="U6" s="159"/>
      <c r="V6" s="160"/>
    </row>
    <row r="7" ht="14.25" customHeight="1">
      <c r="A7" s="15" t="s">
        <v>4</v>
      </c>
      <c r="B7" s="124">
        <v>1.0</v>
      </c>
      <c r="C7" s="72" t="str">
        <f>Package!C7</f>
        <v>100</v>
      </c>
      <c r="D7" s="72" t="str">
        <f>Package!D7</f>
        <v/>
      </c>
      <c r="E7" s="116"/>
      <c r="F7" s="72">
        <v>618.0</v>
      </c>
      <c r="G7" s="72"/>
      <c r="H7" s="141" t="str">
        <f t="shared" si="1"/>
        <v>518</v>
      </c>
      <c r="I7" s="153"/>
      <c r="J7" s="154"/>
      <c r="K7" s="155"/>
      <c r="L7" s="156" t="str">
        <f>F7-200</f>
        <v>418</v>
      </c>
      <c r="M7" s="155"/>
      <c r="N7" s="154"/>
      <c r="O7" s="157"/>
      <c r="P7" s="158"/>
      <c r="Q7" s="159"/>
      <c r="R7" s="160"/>
      <c r="S7" s="161"/>
      <c r="T7" s="162"/>
      <c r="U7" s="159"/>
      <c r="V7" s="160"/>
    </row>
    <row r="8" ht="14.25" customHeight="1">
      <c r="A8" s="15" t="s">
        <v>5</v>
      </c>
      <c r="B8" s="124">
        <v>1.0</v>
      </c>
      <c r="C8" s="72" t="str">
        <f>Package!C8</f>
        <v>546</v>
      </c>
      <c r="D8" s="72" t="str">
        <f>Package!D8</f>
        <v/>
      </c>
      <c r="E8" s="116"/>
      <c r="F8" s="72">
        <v>3015.0</v>
      </c>
      <c r="G8" s="72"/>
      <c r="H8" s="141" t="str">
        <f t="shared" si="1"/>
        <v>2469</v>
      </c>
      <c r="I8" s="153" t="str">
        <f>F8-556</f>
        <v>2459</v>
      </c>
      <c r="J8" s="154"/>
      <c r="K8" s="155"/>
      <c r="L8" s="156"/>
      <c r="M8" s="155"/>
      <c r="N8" s="154"/>
      <c r="O8" s="157"/>
      <c r="P8" s="158"/>
      <c r="Q8" s="159"/>
      <c r="R8" s="160"/>
      <c r="S8" s="161"/>
      <c r="T8" s="162"/>
      <c r="U8" s="159"/>
      <c r="V8" s="160"/>
    </row>
    <row r="9" ht="14.25" customHeight="1">
      <c r="A9" s="15" t="s">
        <v>6</v>
      </c>
      <c r="B9" s="14">
        <v>4.0</v>
      </c>
      <c r="C9" s="72" t="str">
        <f>Package!C9</f>
        <v>2148</v>
      </c>
      <c r="D9" s="72" t="str">
        <f>Package!D9</f>
        <v/>
      </c>
      <c r="E9" s="116"/>
      <c r="F9" s="72">
        <v>2231.0</v>
      </c>
      <c r="G9" s="72"/>
      <c r="H9" s="141" t="str">
        <f t="shared" si="1"/>
        <v>83</v>
      </c>
      <c r="I9" s="153"/>
      <c r="J9" s="154"/>
      <c r="K9" s="155"/>
      <c r="L9" s="156"/>
      <c r="M9" s="155"/>
      <c r="N9" s="154"/>
      <c r="O9" s="157"/>
      <c r="P9" s="158"/>
      <c r="Q9" s="159"/>
      <c r="R9" s="160"/>
      <c r="S9" s="161"/>
      <c r="T9" s="162"/>
      <c r="U9" s="159"/>
      <c r="V9" s="160"/>
    </row>
    <row r="10" ht="14.25" customHeight="1">
      <c r="A10" s="124" t="s">
        <v>7</v>
      </c>
      <c r="B10" s="124"/>
      <c r="C10" s="72" t="str">
        <f>Package!C10</f>
        <v/>
      </c>
      <c r="D10" s="72" t="str">
        <f>Package!D10</f>
        <v/>
      </c>
      <c r="E10" s="116"/>
      <c r="F10" s="72">
        <v>1336.0</v>
      </c>
      <c r="G10" s="72"/>
      <c r="H10" s="141" t="str">
        <f t="shared" si="1"/>
        <v>1336</v>
      </c>
      <c r="I10" s="153"/>
      <c r="J10" s="154"/>
      <c r="K10" s="155"/>
      <c r="L10" s="156"/>
      <c r="M10" s="155"/>
      <c r="N10" s="154"/>
      <c r="O10" s="157"/>
      <c r="P10" s="158"/>
      <c r="Q10" s="159"/>
      <c r="R10" s="160"/>
      <c r="S10" s="161"/>
      <c r="T10" s="162"/>
      <c r="U10" s="159"/>
      <c r="V10" s="160"/>
    </row>
    <row r="11" ht="14.25" customHeight="1">
      <c r="A11" s="15" t="s">
        <v>8</v>
      </c>
      <c r="B11" s="124">
        <v>0.5</v>
      </c>
      <c r="C11" s="72" t="str">
        <f>Package!C11</f>
        <v>924</v>
      </c>
      <c r="D11" s="72" t="str">
        <f>Package!D11</f>
        <v>792</v>
      </c>
      <c r="E11" s="116"/>
      <c r="F11" s="72">
        <v>2964.0</v>
      </c>
      <c r="G11" s="72">
        <v>2339.0</v>
      </c>
      <c r="H11" s="141" t="str">
        <f t="shared" si="1"/>
        <v>2040</v>
      </c>
      <c r="I11" s="153"/>
      <c r="J11" s="154"/>
      <c r="K11" s="155"/>
      <c r="L11" s="156"/>
      <c r="M11" s="155"/>
      <c r="N11" s="154"/>
      <c r="O11" s="157"/>
      <c r="P11" s="158"/>
      <c r="Q11" s="159"/>
      <c r="R11" s="160"/>
      <c r="S11" s="161"/>
      <c r="T11" s="162"/>
      <c r="U11" s="159"/>
      <c r="V11" s="160"/>
    </row>
    <row r="12" ht="14.25" customHeight="1">
      <c r="A12" s="16" t="s">
        <v>9</v>
      </c>
      <c r="B12" s="124">
        <v>1.0</v>
      </c>
      <c r="C12" s="72" t="str">
        <f>Package!C12</f>
        <v>100</v>
      </c>
      <c r="D12" s="72" t="str">
        <f>Package!D12</f>
        <v/>
      </c>
      <c r="E12" s="116"/>
      <c r="F12" s="72">
        <v>600.0</v>
      </c>
      <c r="G12" s="72"/>
      <c r="H12" s="141" t="str">
        <f t="shared" si="1"/>
        <v>500</v>
      </c>
      <c r="I12" s="153"/>
      <c r="J12" s="154"/>
      <c r="K12" s="155"/>
      <c r="L12" s="156"/>
      <c r="M12" s="155"/>
      <c r="N12" s="154"/>
      <c r="O12" s="157"/>
      <c r="P12" s="158"/>
      <c r="Q12" s="159"/>
      <c r="R12" s="160"/>
      <c r="S12" s="161"/>
      <c r="T12" s="162"/>
      <c r="U12" s="159"/>
      <c r="V12" s="160"/>
    </row>
    <row r="13" ht="14.25" customHeight="1">
      <c r="A13" s="16" t="s">
        <v>10</v>
      </c>
      <c r="B13" s="14">
        <v>3.0</v>
      </c>
      <c r="C13" s="72" t="str">
        <f>Package!C13</f>
        <v>300</v>
      </c>
      <c r="D13" s="72" t="str">
        <f>Package!D13</f>
        <v/>
      </c>
      <c r="E13" s="116"/>
      <c r="F13" s="72">
        <v>2846.0</v>
      </c>
      <c r="G13" s="72"/>
      <c r="H13" s="141" t="str">
        <f t="shared" si="1"/>
        <v>2546</v>
      </c>
      <c r="I13" s="153"/>
      <c r="J13" s="154"/>
      <c r="K13" s="155" t="str">
        <f>F13-50</f>
        <v>2796</v>
      </c>
      <c r="L13" s="156"/>
      <c r="M13" s="155"/>
      <c r="N13" s="154"/>
      <c r="O13" s="157"/>
      <c r="P13" s="158"/>
      <c r="Q13" s="159"/>
      <c r="R13" s="160"/>
      <c r="S13" s="161" t="str">
        <f>F13-598</f>
        <v>2248</v>
      </c>
      <c r="T13" s="162"/>
      <c r="U13" s="159"/>
      <c r="V13" s="160"/>
    </row>
    <row r="14" ht="14.25" customHeight="1">
      <c r="A14" s="16" t="s">
        <v>11</v>
      </c>
      <c r="B14" s="124">
        <v>1.0</v>
      </c>
      <c r="C14" s="72" t="str">
        <f>Package!C14</f>
        <v>600</v>
      </c>
      <c r="D14" s="72" t="str">
        <f>Package!D14</f>
        <v/>
      </c>
      <c r="E14" s="116"/>
      <c r="F14" s="72">
        <v>700.0</v>
      </c>
      <c r="G14" s="72"/>
      <c r="H14" s="13" t="str">
        <f t="shared" si="1"/>
        <v>100</v>
      </c>
      <c r="I14" s="153"/>
      <c r="J14" s="154"/>
      <c r="K14" s="155"/>
      <c r="L14" s="156"/>
      <c r="M14" s="155"/>
      <c r="N14" s="154"/>
      <c r="O14" s="157"/>
      <c r="P14" s="158"/>
      <c r="Q14" s="159"/>
      <c r="R14" s="160"/>
      <c r="S14" s="161"/>
      <c r="T14" s="162"/>
      <c r="U14" s="159"/>
      <c r="V14" s="160"/>
    </row>
    <row r="15" ht="14.25" customHeight="1">
      <c r="A15" s="15" t="s">
        <v>12</v>
      </c>
      <c r="B15" s="124"/>
      <c r="C15" s="72" t="str">
        <f>Package!C15</f>
        <v>0</v>
      </c>
      <c r="D15" s="72" t="str">
        <f>Package!D15</f>
        <v>0</v>
      </c>
      <c r="E15" s="116"/>
      <c r="F15" s="72">
        <v>2680.0</v>
      </c>
      <c r="G15" s="72">
        <v>2704.0</v>
      </c>
      <c r="H15" s="141" t="str">
        <f t="shared" si="1"/>
        <v>2680</v>
      </c>
      <c r="I15" s="153"/>
      <c r="J15" s="154"/>
      <c r="K15" s="155"/>
      <c r="L15" s="156"/>
      <c r="M15" s="155"/>
      <c r="N15" s="154"/>
      <c r="O15" s="157" t="str">
        <f t="shared" ref="O15:P15" si="2">F15-333</f>
        <v>2347</v>
      </c>
      <c r="P15" s="158" t="str">
        <f t="shared" si="2"/>
        <v>2371</v>
      </c>
      <c r="Q15" s="159"/>
      <c r="R15" s="160"/>
      <c r="S15" s="161"/>
      <c r="T15" s="162"/>
      <c r="U15" s="159"/>
      <c r="V15" s="160"/>
    </row>
    <row r="16" ht="14.25" customHeight="1">
      <c r="A16" s="15" t="s">
        <v>13</v>
      </c>
      <c r="B16" s="124">
        <v>1.0</v>
      </c>
      <c r="C16" s="72" t="str">
        <f>Package!C16</f>
        <v>97</v>
      </c>
      <c r="D16" s="72" t="str">
        <f>Package!D16</f>
        <v/>
      </c>
      <c r="E16" s="116"/>
      <c r="F16" s="72">
        <v>395.0</v>
      </c>
      <c r="G16" s="72"/>
      <c r="H16" s="141" t="str">
        <f t="shared" si="1"/>
        <v>298</v>
      </c>
      <c r="I16" s="153"/>
      <c r="J16" s="154"/>
      <c r="K16" s="155"/>
      <c r="L16" s="156"/>
      <c r="M16" s="155"/>
      <c r="N16" s="154"/>
      <c r="O16" s="157"/>
      <c r="P16" s="158"/>
      <c r="Q16" s="159"/>
      <c r="R16" s="160"/>
      <c r="S16" s="161"/>
      <c r="T16" s="162"/>
      <c r="U16" s="159"/>
      <c r="V16" s="160"/>
    </row>
    <row r="17" ht="14.25" customHeight="1">
      <c r="A17" s="124" t="s">
        <v>14</v>
      </c>
      <c r="B17" s="14"/>
      <c r="C17" s="72" t="str">
        <f>Package!C17</f>
        <v/>
      </c>
      <c r="D17" s="72" t="str">
        <f>Package!D17</f>
        <v/>
      </c>
      <c r="E17" s="116"/>
      <c r="F17" s="72">
        <v>2843.0</v>
      </c>
      <c r="G17" s="72"/>
      <c r="H17" s="141" t="str">
        <f t="shared" si="1"/>
        <v>2843</v>
      </c>
      <c r="I17" s="153"/>
      <c r="J17" s="154" t="str">
        <f>F17-450</f>
        <v>2393</v>
      </c>
      <c r="K17" s="155"/>
      <c r="L17" s="156"/>
      <c r="M17" s="155"/>
      <c r="N17" s="154"/>
      <c r="O17" s="157"/>
      <c r="P17" s="158"/>
      <c r="Q17" s="159"/>
      <c r="R17" s="160"/>
      <c r="S17" s="161"/>
      <c r="T17" s="162"/>
      <c r="U17" s="159"/>
      <c r="V17" s="160"/>
    </row>
    <row r="18" ht="14.25" customHeight="1">
      <c r="A18" s="124" t="s">
        <v>15</v>
      </c>
      <c r="B18" s="14"/>
      <c r="C18" s="72" t="str">
        <f>Package!C18</f>
        <v/>
      </c>
      <c r="D18" s="72" t="str">
        <f>Package!D18</f>
        <v/>
      </c>
      <c r="E18" s="116"/>
      <c r="F18" s="72">
        <v>3938.0</v>
      </c>
      <c r="G18" s="72"/>
      <c r="H18" s="141" t="str">
        <f t="shared" si="1"/>
        <v>3938</v>
      </c>
      <c r="I18" s="153"/>
      <c r="J18" s="154"/>
      <c r="K18" s="155"/>
      <c r="L18" s="156"/>
      <c r="M18" s="155"/>
      <c r="N18" s="154"/>
      <c r="O18" s="157"/>
      <c r="P18" s="158"/>
      <c r="Q18" s="159"/>
      <c r="R18" s="160"/>
      <c r="S18" s="161"/>
      <c r="T18" s="162"/>
      <c r="U18" s="159"/>
      <c r="V18" s="160"/>
    </row>
    <row r="19" ht="14.25" customHeight="1">
      <c r="A19" s="124" t="s">
        <v>16</v>
      </c>
      <c r="B19" s="124"/>
      <c r="C19" s="72" t="str">
        <f>Package!C19</f>
        <v/>
      </c>
      <c r="D19" s="72" t="str">
        <f>Package!D19</f>
        <v/>
      </c>
      <c r="E19" s="116"/>
      <c r="F19" s="72"/>
      <c r="G19" s="72"/>
      <c r="H19" s="141" t="str">
        <f t="shared" si="1"/>
        <v>0</v>
      </c>
      <c r="I19" s="153"/>
      <c r="J19" s="154"/>
      <c r="K19" s="155"/>
      <c r="L19" s="156"/>
      <c r="M19" s="155"/>
      <c r="N19" s="154"/>
      <c r="O19" s="157"/>
      <c r="P19" s="158"/>
      <c r="Q19" s="159"/>
      <c r="R19" s="160"/>
      <c r="S19" s="161"/>
      <c r="T19" s="162"/>
      <c r="U19" s="159"/>
      <c r="V19" s="160"/>
    </row>
    <row r="20" ht="14.25" customHeight="1">
      <c r="A20" s="124" t="s">
        <v>17</v>
      </c>
      <c r="B20" s="124"/>
      <c r="C20" s="72" t="str">
        <f>Package!C20</f>
        <v/>
      </c>
      <c r="D20" s="72" t="str">
        <f>Package!D20</f>
        <v/>
      </c>
      <c r="E20" s="116"/>
      <c r="F20" s="72">
        <v>3410.0</v>
      </c>
      <c r="G20" s="72"/>
      <c r="H20" s="141" t="str">
        <f t="shared" si="1"/>
        <v>3410</v>
      </c>
      <c r="I20" s="153"/>
      <c r="J20" s="154"/>
      <c r="K20" s="155"/>
      <c r="L20" s="156"/>
      <c r="M20" s="155"/>
      <c r="N20" s="154"/>
      <c r="O20" s="157"/>
      <c r="P20" s="158"/>
      <c r="Q20" s="159"/>
      <c r="R20" s="160"/>
      <c r="S20" s="161"/>
      <c r="T20" s="162"/>
      <c r="U20" s="159"/>
      <c r="V20" s="160"/>
    </row>
    <row r="21" ht="14.25" customHeight="1">
      <c r="A21" s="15" t="s">
        <v>412</v>
      </c>
      <c r="B21" s="124"/>
      <c r="C21" s="72" t="str">
        <f>Package!C21</f>
        <v>0</v>
      </c>
      <c r="D21" s="72" t="str">
        <f>Package!D21</f>
        <v/>
      </c>
      <c r="E21" s="116"/>
      <c r="F21" s="72">
        <v>232.0</v>
      </c>
      <c r="G21" s="72"/>
      <c r="H21" s="141" t="str">
        <f t="shared" si="1"/>
        <v>232</v>
      </c>
      <c r="I21" s="153"/>
      <c r="J21" s="154"/>
      <c r="K21" s="155"/>
      <c r="L21" s="156"/>
      <c r="M21" s="155"/>
      <c r="N21" s="154"/>
      <c r="O21" s="157"/>
      <c r="P21" s="158"/>
      <c r="Q21" s="159"/>
      <c r="R21" s="160"/>
      <c r="S21" s="161"/>
      <c r="T21" s="162"/>
      <c r="U21" s="159"/>
      <c r="V21" s="160"/>
    </row>
    <row r="22" ht="14.25" customHeight="1">
      <c r="A22" s="17" t="s">
        <v>20</v>
      </c>
      <c r="B22" s="14">
        <v>1.0</v>
      </c>
      <c r="C22" s="72" t="str">
        <f>Package!C22</f>
        <v>78</v>
      </c>
      <c r="D22" s="72" t="str">
        <f>Package!D22</f>
        <v/>
      </c>
      <c r="E22" s="116"/>
      <c r="F22" s="72">
        <v>863.0</v>
      </c>
      <c r="G22" s="72"/>
      <c r="H22" s="141" t="str">
        <f t="shared" si="1"/>
        <v>785</v>
      </c>
      <c r="I22" s="153" t="str">
        <f>F22-81</f>
        <v>782</v>
      </c>
      <c r="J22" s="154"/>
      <c r="K22" s="155"/>
      <c r="L22" s="156"/>
      <c r="M22" s="155"/>
      <c r="N22" s="154"/>
      <c r="O22" s="157"/>
      <c r="P22" s="158"/>
      <c r="Q22" s="159"/>
      <c r="R22" s="160"/>
      <c r="S22" s="161"/>
      <c r="T22" s="162" t="str">
        <f>I22-81</f>
        <v>701</v>
      </c>
      <c r="U22" s="159"/>
      <c r="V22" s="160"/>
    </row>
    <row r="23" ht="14.25" customHeight="1">
      <c r="A23" s="17" t="s">
        <v>21</v>
      </c>
      <c r="B23" s="14"/>
      <c r="C23" s="72" t="str">
        <f>Package!C23</f>
        <v>0</v>
      </c>
      <c r="D23" s="72" t="str">
        <f>Package!D23</f>
        <v/>
      </c>
      <c r="E23" s="116"/>
      <c r="F23" s="72">
        <v>189.0</v>
      </c>
      <c r="G23" s="72"/>
      <c r="H23" s="141" t="str">
        <f t="shared" si="1"/>
        <v>189</v>
      </c>
      <c r="I23" s="153"/>
      <c r="J23" s="154"/>
      <c r="K23" s="155"/>
      <c r="L23" s="156"/>
      <c r="M23" s="155"/>
      <c r="N23" s="154"/>
      <c r="O23" s="157"/>
      <c r="P23" s="158"/>
      <c r="Q23" s="159" t="str">
        <f>F23-100</f>
        <v>89</v>
      </c>
      <c r="R23" s="160"/>
      <c r="S23" s="161"/>
      <c r="T23" s="162"/>
      <c r="U23" s="159"/>
      <c r="V23" s="160"/>
    </row>
    <row r="24" ht="14.25" customHeight="1">
      <c r="A24" s="17" t="s">
        <v>22</v>
      </c>
      <c r="B24" s="124">
        <v>1.0</v>
      </c>
      <c r="C24" s="72" t="str">
        <f>Package!C24</f>
        <v>103</v>
      </c>
      <c r="D24" s="72" t="str">
        <f>Package!D24</f>
        <v/>
      </c>
      <c r="E24" s="116"/>
      <c r="F24" s="72">
        <v>530.0</v>
      </c>
      <c r="G24" s="72"/>
      <c r="H24" s="141" t="str">
        <f t="shared" si="1"/>
        <v>427</v>
      </c>
      <c r="I24" s="153"/>
      <c r="J24" s="154" t="str">
        <f>F24-103</f>
        <v>427</v>
      </c>
      <c r="K24" s="155"/>
      <c r="L24" s="156"/>
      <c r="M24" s="155"/>
      <c r="N24" s="154"/>
      <c r="O24" s="157"/>
      <c r="P24" s="158"/>
      <c r="Q24" s="159"/>
      <c r="R24" s="160"/>
      <c r="S24" s="161"/>
      <c r="T24" s="162"/>
      <c r="U24" s="159"/>
      <c r="V24" s="160"/>
    </row>
    <row r="25" ht="14.25" customHeight="1">
      <c r="A25" s="18" t="s">
        <v>23</v>
      </c>
      <c r="B25" s="124"/>
      <c r="C25" s="72" t="str">
        <f>Package!C25</f>
        <v>0</v>
      </c>
      <c r="D25" s="72" t="str">
        <f>Package!D25</f>
        <v/>
      </c>
      <c r="E25" s="116"/>
      <c r="F25" s="72">
        <v>838.0</v>
      </c>
      <c r="G25" s="72"/>
      <c r="H25" s="141" t="str">
        <f t="shared" si="1"/>
        <v>838</v>
      </c>
      <c r="I25" s="153"/>
      <c r="J25" s="154"/>
      <c r="K25" s="155"/>
      <c r="L25" s="156"/>
      <c r="M25" s="155" t="str">
        <f>F25-101</f>
        <v>737</v>
      </c>
      <c r="N25" s="154"/>
      <c r="O25" s="157"/>
      <c r="P25" s="158"/>
      <c r="Q25" s="159"/>
      <c r="R25" s="160"/>
      <c r="S25" s="161"/>
      <c r="T25" s="162"/>
      <c r="U25" s="159"/>
      <c r="V25" s="160"/>
    </row>
    <row r="26" ht="14.25" customHeight="1">
      <c r="A26" s="17" t="s">
        <v>24</v>
      </c>
      <c r="B26" s="124"/>
      <c r="C26" s="72" t="str">
        <f>Package!C26</f>
        <v>0</v>
      </c>
      <c r="D26" s="72" t="str">
        <f>Package!D26</f>
        <v/>
      </c>
      <c r="E26" s="116"/>
      <c r="F26" s="72">
        <v>409.0</v>
      </c>
      <c r="G26" s="72"/>
      <c r="H26" s="141" t="str">
        <f t="shared" si="1"/>
        <v>409</v>
      </c>
      <c r="I26" s="153" t="str">
        <f>F26-86</f>
        <v>323</v>
      </c>
      <c r="J26" s="154"/>
      <c r="K26" s="155"/>
      <c r="L26" s="156"/>
      <c r="M26" s="155"/>
      <c r="N26" s="154"/>
      <c r="O26" s="157"/>
      <c r="P26" s="158"/>
      <c r="Q26" s="159"/>
      <c r="R26" s="160"/>
      <c r="S26" s="161"/>
      <c r="T26" s="162"/>
      <c r="U26" s="159"/>
      <c r="V26" s="160"/>
    </row>
    <row r="27" ht="14.25" customHeight="1">
      <c r="A27" s="17" t="s">
        <v>25</v>
      </c>
      <c r="B27" s="124">
        <v>2.0</v>
      </c>
      <c r="C27" s="72" t="str">
        <f>Package!C27</f>
        <v>100</v>
      </c>
      <c r="D27" s="72" t="str">
        <f>Package!D27</f>
        <v/>
      </c>
      <c r="E27" s="116"/>
      <c r="F27" s="72">
        <v>381.0</v>
      </c>
      <c r="G27" s="72"/>
      <c r="H27" s="141" t="str">
        <f t="shared" si="1"/>
        <v>281</v>
      </c>
      <c r="I27" s="153" t="str">
        <f>F27-50</f>
        <v>331</v>
      </c>
      <c r="J27" s="154"/>
      <c r="K27" s="155"/>
      <c r="L27" s="156"/>
      <c r="M27" s="155"/>
      <c r="N27" s="154"/>
      <c r="O27" s="157"/>
      <c r="P27" s="158"/>
      <c r="Q27" s="159"/>
      <c r="R27" s="160"/>
      <c r="S27" s="161"/>
      <c r="T27" s="162"/>
      <c r="U27" s="159"/>
      <c r="V27" s="160"/>
    </row>
    <row r="28" ht="14.25" customHeight="1">
      <c r="A28" s="17" t="s">
        <v>26</v>
      </c>
      <c r="B28" s="124">
        <v>0.0</v>
      </c>
      <c r="C28" s="72" t="str">
        <f>Package!C28</f>
        <v>0</v>
      </c>
      <c r="D28" s="72" t="str">
        <f>Package!D28</f>
        <v/>
      </c>
      <c r="E28" s="116"/>
      <c r="F28" s="72">
        <v>789.0</v>
      </c>
      <c r="G28" s="72"/>
      <c r="H28" s="141" t="str">
        <f t="shared" si="1"/>
        <v>789</v>
      </c>
      <c r="I28" s="153"/>
      <c r="J28" s="154"/>
      <c r="K28" s="155" t="str">
        <f>F28-84</f>
        <v>705</v>
      </c>
      <c r="L28" s="156"/>
      <c r="M28" s="155"/>
      <c r="N28" s="154"/>
      <c r="O28" s="157"/>
      <c r="P28" s="158"/>
      <c r="Q28" s="159"/>
      <c r="R28" s="160"/>
      <c r="S28" s="161"/>
      <c r="T28" s="162"/>
      <c r="U28" s="159"/>
      <c r="V28" s="160"/>
    </row>
    <row r="29" ht="14.25" customHeight="1">
      <c r="A29" s="17" t="s">
        <v>27</v>
      </c>
      <c r="B29" s="124"/>
      <c r="C29" s="72" t="str">
        <f>Package!C29</f>
        <v>0</v>
      </c>
      <c r="D29" s="72" t="str">
        <f>Package!D29</f>
        <v/>
      </c>
      <c r="E29" s="116"/>
      <c r="F29" s="72">
        <v>741.0</v>
      </c>
      <c r="G29" s="72"/>
      <c r="H29" s="141" t="str">
        <f t="shared" si="1"/>
        <v>741</v>
      </c>
      <c r="I29" s="153"/>
      <c r="J29" s="154"/>
      <c r="K29" s="155" t="str">
        <f>F29-90</f>
        <v>651</v>
      </c>
      <c r="L29" s="156"/>
      <c r="M29" s="155"/>
      <c r="N29" s="154"/>
      <c r="O29" s="157"/>
      <c r="P29" s="158"/>
      <c r="Q29" s="159"/>
      <c r="R29" s="160"/>
      <c r="S29" s="161"/>
      <c r="T29" s="162"/>
      <c r="U29" s="159"/>
      <c r="V29" s="160"/>
    </row>
    <row r="30" ht="14.25" customHeight="1">
      <c r="A30" s="18" t="s">
        <v>28</v>
      </c>
      <c r="B30" s="124">
        <v>3.0</v>
      </c>
      <c r="C30" s="72" t="str">
        <f>Package!C30</f>
        <v>300</v>
      </c>
      <c r="D30" s="72" t="str">
        <f>Package!D30</f>
        <v/>
      </c>
      <c r="E30" s="116"/>
      <c r="F30" s="72">
        <v>3103.0</v>
      </c>
      <c r="G30" s="72"/>
      <c r="H30" s="141" t="str">
        <f t="shared" si="1"/>
        <v>2803</v>
      </c>
      <c r="I30" s="153"/>
      <c r="J30" s="154"/>
      <c r="K30" s="155"/>
      <c r="L30" s="156" t="str">
        <f>F30-100</f>
        <v>3003</v>
      </c>
      <c r="M30" s="155"/>
      <c r="N30" s="154"/>
      <c r="O30" s="157"/>
      <c r="P30" s="158"/>
      <c r="Q30" s="159"/>
      <c r="R30" s="160"/>
      <c r="S30" s="161"/>
      <c r="T30" s="162"/>
      <c r="U30" s="159"/>
      <c r="V30" s="160"/>
    </row>
    <row r="31" ht="14.25" customHeight="1">
      <c r="A31" s="18" t="s">
        <v>29</v>
      </c>
      <c r="B31" s="124">
        <v>1.0</v>
      </c>
      <c r="C31" s="72" t="str">
        <f>Package!C31</f>
        <v>92</v>
      </c>
      <c r="D31" s="72" t="str">
        <f>Package!D31</f>
        <v/>
      </c>
      <c r="E31" s="116"/>
      <c r="F31" s="72">
        <v>303.0</v>
      </c>
      <c r="G31" s="72"/>
      <c r="H31" s="141" t="str">
        <f t="shared" si="1"/>
        <v>211</v>
      </c>
      <c r="I31" s="153"/>
      <c r="J31" s="154"/>
      <c r="K31" s="155"/>
      <c r="L31" s="156"/>
      <c r="M31" s="155"/>
      <c r="N31" s="154"/>
      <c r="O31" s="157"/>
      <c r="P31" s="158"/>
      <c r="Q31" s="159"/>
      <c r="R31" s="160"/>
      <c r="S31" s="161"/>
      <c r="T31" s="162"/>
      <c r="U31" s="159"/>
      <c r="V31" s="160"/>
    </row>
    <row r="32" ht="14.25" customHeight="1">
      <c r="A32" s="18" t="s">
        <v>30</v>
      </c>
      <c r="B32" s="124"/>
      <c r="C32" s="72" t="str">
        <f>Package!C32</f>
        <v>0</v>
      </c>
      <c r="D32" s="72" t="str">
        <f>Package!D32</f>
        <v/>
      </c>
      <c r="E32" s="116"/>
      <c r="F32" s="72">
        <v>1388.0</v>
      </c>
      <c r="G32" s="72"/>
      <c r="H32" s="141" t="str">
        <f t="shared" si="1"/>
        <v>1388</v>
      </c>
      <c r="I32" s="153"/>
      <c r="J32" s="154"/>
      <c r="K32" s="155"/>
      <c r="L32" s="156"/>
      <c r="M32" s="155"/>
      <c r="N32" s="154"/>
      <c r="O32" s="157"/>
      <c r="P32" s="158"/>
      <c r="Q32" s="159" t="str">
        <f>F32-100</f>
        <v>1288</v>
      </c>
      <c r="R32" s="160"/>
      <c r="S32" s="161"/>
      <c r="T32" s="162"/>
      <c r="U32" s="159"/>
      <c r="V32" s="160"/>
    </row>
    <row r="33" ht="14.25" customHeight="1">
      <c r="A33" s="18" t="s">
        <v>31</v>
      </c>
      <c r="B33" s="124">
        <v>1.0</v>
      </c>
      <c r="C33" s="72" t="str">
        <f>Package!C33</f>
        <v>89</v>
      </c>
      <c r="D33" s="72" t="str">
        <f>Package!D33</f>
        <v/>
      </c>
      <c r="E33" s="116"/>
      <c r="F33" s="72">
        <v>1538.0</v>
      </c>
      <c r="G33" s="72"/>
      <c r="H33" s="141" t="str">
        <f t="shared" si="1"/>
        <v>1449</v>
      </c>
      <c r="I33" s="153"/>
      <c r="J33" s="154"/>
      <c r="K33" s="155"/>
      <c r="L33" s="156"/>
      <c r="M33" s="155"/>
      <c r="N33" s="154"/>
      <c r="O33" s="157"/>
      <c r="P33" s="158"/>
      <c r="Q33" s="159"/>
      <c r="R33" s="160"/>
      <c r="S33" s="161"/>
      <c r="T33" s="162"/>
      <c r="U33" s="159"/>
      <c r="V33" s="160"/>
    </row>
    <row r="34" ht="14.25" customHeight="1">
      <c r="A34" s="18" t="s">
        <v>415</v>
      </c>
      <c r="B34" s="124"/>
      <c r="C34" s="72" t="str">
        <f>Package!C34</f>
        <v>0</v>
      </c>
      <c r="D34" s="72" t="str">
        <f>Package!D34</f>
        <v/>
      </c>
      <c r="E34" s="116"/>
      <c r="F34" s="72">
        <v>388.0</v>
      </c>
      <c r="G34" s="72"/>
      <c r="H34" s="141" t="str">
        <f t="shared" si="1"/>
        <v>388</v>
      </c>
      <c r="I34" s="153"/>
      <c r="J34" s="154"/>
      <c r="K34" s="155"/>
      <c r="L34" s="156"/>
      <c r="M34" s="155"/>
      <c r="N34" s="154"/>
      <c r="O34" s="157"/>
      <c r="P34" s="158"/>
      <c r="Q34" s="159"/>
      <c r="R34" s="160"/>
      <c r="S34" s="161"/>
      <c r="T34" s="162"/>
      <c r="U34" s="159"/>
      <c r="V34" s="160"/>
    </row>
    <row r="35" ht="14.25" customHeight="1">
      <c r="A35" s="17" t="s">
        <v>33</v>
      </c>
      <c r="B35" s="14">
        <v>1.0</v>
      </c>
      <c r="C35" s="72" t="str">
        <f>Package!C35</f>
        <v>106</v>
      </c>
      <c r="D35" s="72" t="str">
        <f>Package!D35</f>
        <v/>
      </c>
      <c r="E35" s="116"/>
      <c r="F35" s="72">
        <v>1213.0</v>
      </c>
      <c r="G35" s="72"/>
      <c r="H35" s="141" t="str">
        <f t="shared" si="1"/>
        <v>1107</v>
      </c>
      <c r="I35" s="153"/>
      <c r="J35" s="154"/>
      <c r="K35" s="155" t="str">
        <f>F35-221</f>
        <v>992</v>
      </c>
      <c r="L35" s="156"/>
      <c r="M35" s="155"/>
      <c r="N35" s="154"/>
      <c r="O35" s="157"/>
      <c r="P35" s="158"/>
      <c r="Q35" s="159"/>
      <c r="R35" s="160"/>
      <c r="S35" s="161"/>
      <c r="T35" s="162"/>
      <c r="U35" s="159"/>
      <c r="V35" s="160"/>
    </row>
    <row r="36" ht="14.25" customHeight="1">
      <c r="A36" s="18" t="s">
        <v>34</v>
      </c>
      <c r="B36" s="14">
        <v>1.0</v>
      </c>
      <c r="C36" s="72" t="str">
        <f>Package!C36</f>
        <v>100</v>
      </c>
      <c r="D36" s="72" t="str">
        <f>Package!D36</f>
        <v/>
      </c>
      <c r="E36" s="116"/>
      <c r="F36" s="72">
        <v>188.0</v>
      </c>
      <c r="G36" s="72"/>
      <c r="H36" s="141" t="str">
        <f t="shared" si="1"/>
        <v>88</v>
      </c>
      <c r="I36" s="153"/>
      <c r="J36" s="154"/>
      <c r="K36" s="155"/>
      <c r="L36" s="156"/>
      <c r="M36" s="155"/>
      <c r="N36" s="154"/>
      <c r="O36" s="157"/>
      <c r="P36" s="158"/>
      <c r="Q36" s="159"/>
      <c r="R36" s="160"/>
      <c r="S36" s="161"/>
      <c r="T36" s="162"/>
      <c r="U36" s="159"/>
      <c r="V36" s="160"/>
    </row>
    <row r="37" ht="14.25" customHeight="1">
      <c r="A37" s="18" t="s">
        <v>35</v>
      </c>
      <c r="B37" s="14"/>
      <c r="C37" s="72" t="str">
        <f>Package!C37</f>
        <v>0</v>
      </c>
      <c r="D37" s="72" t="str">
        <f>Package!D37</f>
        <v/>
      </c>
      <c r="E37" s="116"/>
      <c r="F37" s="72">
        <v>745.0</v>
      </c>
      <c r="G37" s="72"/>
      <c r="H37" s="141" t="str">
        <f t="shared" si="1"/>
        <v>745</v>
      </c>
      <c r="I37" s="153"/>
      <c r="J37" s="154"/>
      <c r="K37" s="155"/>
      <c r="L37" s="156"/>
      <c r="M37" s="155"/>
      <c r="N37" s="154"/>
      <c r="O37" s="157"/>
      <c r="P37" s="158"/>
      <c r="Q37" s="159"/>
      <c r="R37" s="160"/>
      <c r="S37" s="161"/>
      <c r="T37" s="162"/>
      <c r="U37" s="159"/>
      <c r="V37" s="160"/>
    </row>
    <row r="38" ht="14.25" customHeight="1">
      <c r="A38" s="18" t="s">
        <v>36</v>
      </c>
      <c r="B38" s="14"/>
      <c r="C38" s="72" t="str">
        <f>Package!C38</f>
        <v>0</v>
      </c>
      <c r="D38" s="72" t="str">
        <f>Package!D38</f>
        <v/>
      </c>
      <c r="E38" s="116"/>
      <c r="F38" s="72">
        <v>505.0</v>
      </c>
      <c r="G38" s="72"/>
      <c r="H38" s="141" t="str">
        <f t="shared" si="1"/>
        <v>505</v>
      </c>
      <c r="I38" s="153"/>
      <c r="J38" s="154"/>
      <c r="K38" s="155"/>
      <c r="L38" s="156"/>
      <c r="M38" s="155"/>
      <c r="N38" s="154"/>
      <c r="O38" s="157"/>
      <c r="P38" s="158"/>
      <c r="Q38" s="159"/>
      <c r="R38" s="160"/>
      <c r="S38" s="161"/>
      <c r="T38" s="162"/>
      <c r="U38" s="159"/>
      <c r="V38" s="160"/>
    </row>
    <row r="39" ht="14.25" customHeight="1">
      <c r="A39" s="18" t="s">
        <v>37</v>
      </c>
      <c r="B39" s="14"/>
      <c r="C39" s="72" t="str">
        <f>Package!C39</f>
        <v>0</v>
      </c>
      <c r="D39" s="72" t="str">
        <f>Package!D39</f>
        <v/>
      </c>
      <c r="E39" s="116"/>
      <c r="F39" s="72">
        <v>1583.0</v>
      </c>
      <c r="G39" s="72"/>
      <c r="H39" s="141" t="str">
        <f t="shared" si="1"/>
        <v>1583</v>
      </c>
      <c r="I39" s="153"/>
      <c r="J39" s="154"/>
      <c r="K39" s="155"/>
      <c r="L39" s="156"/>
      <c r="M39" s="155"/>
      <c r="N39" s="154"/>
      <c r="O39" s="157"/>
      <c r="P39" s="158"/>
      <c r="Q39" s="159"/>
      <c r="R39" s="160"/>
      <c r="S39" s="161"/>
      <c r="T39" s="162"/>
      <c r="U39" s="159"/>
      <c r="V39" s="160"/>
    </row>
    <row r="40" ht="14.25" customHeight="1">
      <c r="A40" s="124" t="s">
        <v>38</v>
      </c>
      <c r="B40" s="124">
        <v>1.0</v>
      </c>
      <c r="C40" s="72" t="str">
        <f>Package!C40</f>
        <v/>
      </c>
      <c r="D40" s="72" t="str">
        <f>Package!D40</f>
        <v/>
      </c>
      <c r="E40" s="116"/>
      <c r="F40" s="72"/>
      <c r="G40" s="72"/>
      <c r="H40" s="141" t="str">
        <f t="shared" si="1"/>
        <v>0</v>
      </c>
      <c r="I40" s="153"/>
      <c r="J40" s="154"/>
      <c r="K40" s="155"/>
      <c r="L40" s="156"/>
      <c r="M40" s="155"/>
      <c r="N40" s="154"/>
      <c r="O40" s="157"/>
      <c r="P40" s="158"/>
      <c r="Q40" s="159"/>
      <c r="R40" s="160"/>
      <c r="S40" s="161"/>
      <c r="T40" s="162"/>
      <c r="U40" s="159"/>
      <c r="V40" s="160"/>
    </row>
    <row r="41" ht="14.25" customHeight="1">
      <c r="A41" s="14" t="s">
        <v>39</v>
      </c>
      <c r="B41" s="124"/>
      <c r="C41" s="72" t="str">
        <f>Package!C41</f>
        <v/>
      </c>
      <c r="D41" s="72" t="str">
        <f>Package!D41</f>
        <v/>
      </c>
      <c r="E41" s="116"/>
      <c r="F41" s="72"/>
      <c r="G41" s="72"/>
      <c r="H41" s="141" t="str">
        <f t="shared" si="1"/>
        <v>0</v>
      </c>
      <c r="I41" s="153"/>
      <c r="J41" s="154"/>
      <c r="K41" s="155"/>
      <c r="L41" s="156"/>
      <c r="M41" s="155"/>
      <c r="N41" s="154"/>
      <c r="O41" s="157"/>
      <c r="P41" s="158"/>
      <c r="Q41" s="159"/>
      <c r="R41" s="160"/>
      <c r="S41" s="161"/>
      <c r="T41" s="162"/>
      <c r="U41" s="159"/>
      <c r="V41" s="160"/>
    </row>
    <row r="42" ht="14.25" customHeight="1">
      <c r="A42" s="124" t="s">
        <v>40</v>
      </c>
      <c r="B42" s="14"/>
      <c r="C42" s="72" t="str">
        <f>Package!C42</f>
        <v/>
      </c>
      <c r="D42" s="72" t="str">
        <f>Package!D42</f>
        <v/>
      </c>
      <c r="E42" s="116"/>
      <c r="F42" s="72"/>
      <c r="G42" s="72"/>
      <c r="H42" s="141" t="str">
        <f t="shared" si="1"/>
        <v>0</v>
      </c>
      <c r="I42" s="153"/>
      <c r="J42" s="154"/>
      <c r="K42" s="155"/>
      <c r="L42" s="156"/>
      <c r="M42" s="155"/>
      <c r="N42" s="154"/>
      <c r="O42" s="157"/>
      <c r="P42" s="158"/>
      <c r="Q42" s="159"/>
      <c r="R42" s="160"/>
      <c r="S42" s="161"/>
      <c r="T42" s="162"/>
      <c r="U42" s="159"/>
      <c r="V42" s="160"/>
    </row>
    <row r="43" ht="14.25" customHeight="1">
      <c r="A43" s="14" t="s">
        <v>41</v>
      </c>
      <c r="B43" s="14"/>
      <c r="C43" s="72" t="str">
        <f>Package!C43</f>
        <v/>
      </c>
      <c r="D43" s="72" t="str">
        <f>Package!D43</f>
        <v/>
      </c>
      <c r="E43" s="116"/>
      <c r="F43" s="72">
        <v>1991.0</v>
      </c>
      <c r="G43" s="72"/>
      <c r="H43" s="141" t="str">
        <f t="shared" si="1"/>
        <v>1991</v>
      </c>
      <c r="I43" s="153"/>
      <c r="J43" s="154"/>
      <c r="K43" s="155"/>
      <c r="L43" s="156"/>
      <c r="M43" s="155"/>
      <c r="N43" s="154"/>
      <c r="O43" s="157"/>
      <c r="P43" s="158"/>
      <c r="Q43" s="159"/>
      <c r="R43" s="160"/>
      <c r="S43" s="161"/>
      <c r="T43" s="162"/>
      <c r="U43" s="159"/>
      <c r="V43" s="160"/>
    </row>
    <row r="44" ht="14.25" customHeight="1">
      <c r="A44" s="14" t="s">
        <v>42</v>
      </c>
      <c r="B44" s="14"/>
      <c r="C44" s="72" t="str">
        <f>Package!C44</f>
        <v/>
      </c>
      <c r="D44" s="72" t="str">
        <f>Package!D44</f>
        <v/>
      </c>
      <c r="E44" s="116"/>
      <c r="F44" s="72"/>
      <c r="G44" s="72"/>
      <c r="H44" s="141" t="str">
        <f t="shared" si="1"/>
        <v>0</v>
      </c>
      <c r="I44" s="153"/>
      <c r="J44" s="154"/>
      <c r="K44" s="155"/>
      <c r="L44" s="156"/>
      <c r="M44" s="155"/>
      <c r="N44" s="154"/>
      <c r="O44" s="157"/>
      <c r="P44" s="158"/>
      <c r="Q44" s="159"/>
      <c r="R44" s="160"/>
      <c r="S44" s="161"/>
      <c r="T44" s="162"/>
      <c r="U44" s="159"/>
      <c r="V44" s="160"/>
    </row>
    <row r="45" ht="14.25" customHeight="1">
      <c r="A45" s="124" t="s">
        <v>43</v>
      </c>
      <c r="B45" s="124"/>
      <c r="C45" s="72" t="str">
        <f>Package!C45</f>
        <v/>
      </c>
      <c r="D45" s="72" t="str">
        <f>Package!D45</f>
        <v/>
      </c>
      <c r="E45" s="116"/>
      <c r="F45" s="72"/>
      <c r="G45" s="72"/>
      <c r="H45" s="141" t="str">
        <f t="shared" si="1"/>
        <v>0</v>
      </c>
      <c r="I45" s="153"/>
      <c r="J45" s="154"/>
      <c r="K45" s="155"/>
      <c r="L45" s="156"/>
      <c r="M45" s="155"/>
      <c r="N45" s="154"/>
      <c r="O45" s="157"/>
      <c r="P45" s="158"/>
      <c r="Q45" s="159"/>
      <c r="R45" s="160"/>
      <c r="S45" s="161"/>
      <c r="T45" s="162"/>
      <c r="U45" s="159"/>
      <c r="V45" s="160"/>
    </row>
    <row r="46" ht="14.25" customHeight="1">
      <c r="A46" s="22" t="s">
        <v>44</v>
      </c>
      <c r="B46" s="14"/>
      <c r="C46" s="72" t="str">
        <f>Package!C46</f>
        <v>0</v>
      </c>
      <c r="D46" s="72" t="str">
        <f>Package!D46</f>
        <v/>
      </c>
      <c r="E46" s="116"/>
      <c r="F46" s="72">
        <v>2405.0</v>
      </c>
      <c r="G46" s="72"/>
      <c r="H46" s="141" t="str">
        <f t="shared" si="1"/>
        <v>2405</v>
      </c>
      <c r="I46" s="153"/>
      <c r="J46" s="154"/>
      <c r="K46" s="155"/>
      <c r="L46" s="156"/>
      <c r="M46" s="155"/>
      <c r="N46" s="154"/>
      <c r="O46" s="157"/>
      <c r="P46" s="158"/>
      <c r="Q46" s="159" t="str">
        <f>F46-612</f>
        <v>1793</v>
      </c>
      <c r="R46" s="160"/>
      <c r="S46" s="161"/>
      <c r="T46" s="162"/>
      <c r="U46" s="159"/>
      <c r="V46" s="160"/>
    </row>
    <row r="47" ht="14.25" customHeight="1">
      <c r="A47" s="22" t="s">
        <v>45</v>
      </c>
      <c r="B47" s="14">
        <v>1.0</v>
      </c>
      <c r="C47" s="72" t="str">
        <f>Package!C47</f>
        <v>588</v>
      </c>
      <c r="D47" s="72" t="str">
        <f>Package!D47</f>
        <v/>
      </c>
      <c r="E47" s="116"/>
      <c r="F47" s="72">
        <v>3464.0</v>
      </c>
      <c r="G47" s="72"/>
      <c r="H47" s="141" t="str">
        <f t="shared" si="1"/>
        <v>2876</v>
      </c>
      <c r="I47" s="153"/>
      <c r="J47" s="154"/>
      <c r="K47" s="155"/>
      <c r="L47" s="156"/>
      <c r="M47" s="155"/>
      <c r="N47" s="154"/>
      <c r="O47" s="157"/>
      <c r="P47" s="158"/>
      <c r="Q47" s="159"/>
      <c r="R47" s="160"/>
      <c r="S47" s="161"/>
      <c r="T47" s="162"/>
      <c r="U47" s="159"/>
      <c r="V47" s="160"/>
    </row>
    <row r="48" ht="19.5" customHeight="1">
      <c r="A48" s="163" t="s">
        <v>46</v>
      </c>
      <c r="B48" s="124"/>
      <c r="C48" s="72" t="str">
        <f>Package!C48</f>
        <v>0</v>
      </c>
      <c r="D48" s="72" t="str">
        <f>Package!D48</f>
        <v/>
      </c>
      <c r="E48" s="116"/>
      <c r="F48" s="72"/>
      <c r="G48" s="72"/>
      <c r="H48" s="141" t="str">
        <f t="shared" si="1"/>
        <v>0</v>
      </c>
      <c r="I48" s="153"/>
      <c r="J48" s="154"/>
      <c r="K48" s="155"/>
      <c r="L48" s="156"/>
      <c r="M48" s="155"/>
      <c r="N48" s="154"/>
      <c r="O48" s="157"/>
      <c r="P48" s="158"/>
      <c r="Q48" s="159"/>
      <c r="R48" s="160"/>
      <c r="S48" s="161"/>
      <c r="T48" s="162"/>
      <c r="U48" s="159"/>
      <c r="V48" s="160"/>
    </row>
    <row r="49" ht="14.25" customHeight="1">
      <c r="A49" s="164" t="s">
        <v>417</v>
      </c>
      <c r="B49" s="124"/>
      <c r="C49" s="72" t="str">
        <f>Package!C49</f>
        <v>0</v>
      </c>
      <c r="D49" s="72" t="str">
        <f>Package!D49</f>
        <v/>
      </c>
      <c r="E49" s="116"/>
      <c r="F49" s="72">
        <v>4482.0</v>
      </c>
      <c r="G49" s="72"/>
      <c r="H49" s="141" t="str">
        <f t="shared" si="1"/>
        <v>4482</v>
      </c>
      <c r="I49" s="153"/>
      <c r="J49" s="154"/>
      <c r="K49" s="155"/>
      <c r="L49" s="156"/>
      <c r="M49" s="155"/>
      <c r="N49" s="154"/>
      <c r="O49" s="157"/>
      <c r="P49" s="158"/>
      <c r="Q49" s="159"/>
      <c r="R49" s="160"/>
      <c r="S49" s="161"/>
      <c r="T49" s="162"/>
      <c r="U49" s="159"/>
      <c r="V49" s="160"/>
    </row>
    <row r="50" ht="14.25" customHeight="1">
      <c r="A50" s="23" t="s">
        <v>418</v>
      </c>
      <c r="B50" s="124"/>
      <c r="C50" s="72" t="str">
        <f>Package!C50</f>
        <v>0</v>
      </c>
      <c r="D50" s="72" t="str">
        <f>Package!D50</f>
        <v/>
      </c>
      <c r="E50" s="116"/>
      <c r="F50" s="72">
        <v>666.0</v>
      </c>
      <c r="G50" s="72"/>
      <c r="H50" s="141" t="str">
        <f t="shared" si="1"/>
        <v>666</v>
      </c>
      <c r="I50" s="153"/>
      <c r="J50" s="154"/>
      <c r="K50" s="155"/>
      <c r="L50" s="156"/>
      <c r="M50" s="155"/>
      <c r="N50" s="154"/>
      <c r="O50" s="157"/>
      <c r="P50" s="158"/>
      <c r="Q50" s="159"/>
      <c r="R50" s="160"/>
      <c r="S50" s="161"/>
      <c r="T50" s="162"/>
      <c r="U50" s="159"/>
      <c r="V50" s="160"/>
    </row>
    <row r="51" ht="14.25" customHeight="1">
      <c r="A51" s="22" t="s">
        <v>49</v>
      </c>
      <c r="B51" s="124">
        <v>0.5</v>
      </c>
      <c r="C51" s="72" t="str">
        <f>Package!C51</f>
        <v>245</v>
      </c>
      <c r="D51" s="72" t="str">
        <f>Package!D51</f>
        <v/>
      </c>
      <c r="E51" s="116"/>
      <c r="F51" s="72">
        <v>949.0</v>
      </c>
      <c r="G51" s="72"/>
      <c r="H51" s="141" t="str">
        <f t="shared" si="1"/>
        <v>704</v>
      </c>
      <c r="I51" s="153"/>
      <c r="J51" s="154"/>
      <c r="K51" s="155"/>
      <c r="L51" s="156"/>
      <c r="M51" s="155"/>
      <c r="N51" s="154"/>
      <c r="O51" s="157"/>
      <c r="P51" s="158"/>
      <c r="Q51" s="159"/>
      <c r="R51" s="160"/>
      <c r="S51" s="161"/>
      <c r="T51" s="162"/>
      <c r="U51" s="159"/>
      <c r="V51" s="160"/>
    </row>
    <row r="52" ht="14.25" customHeight="1">
      <c r="A52" s="14" t="s">
        <v>50</v>
      </c>
      <c r="B52" s="14">
        <v>1.0</v>
      </c>
      <c r="C52" s="72" t="str">
        <f>Package!C52</f>
        <v/>
      </c>
      <c r="D52" s="72" t="str">
        <f>Package!D52</f>
        <v/>
      </c>
      <c r="E52" s="116"/>
      <c r="F52" s="72">
        <v>3381.0</v>
      </c>
      <c r="G52" s="72"/>
      <c r="H52" s="141" t="str">
        <f t="shared" si="1"/>
        <v>3381</v>
      </c>
      <c r="I52" s="153"/>
      <c r="J52" s="154"/>
      <c r="K52" s="155"/>
      <c r="L52" s="156"/>
      <c r="M52" s="155"/>
      <c r="N52" s="154"/>
      <c r="O52" s="157"/>
      <c r="P52" s="158"/>
      <c r="Q52" s="159"/>
      <c r="R52" s="160"/>
      <c r="S52" s="161"/>
      <c r="T52" s="162"/>
      <c r="U52" s="159"/>
      <c r="V52" s="160"/>
    </row>
    <row r="53" ht="14.25" customHeight="1">
      <c r="A53" s="23" t="s">
        <v>51</v>
      </c>
      <c r="B53" s="14"/>
      <c r="C53" s="72" t="str">
        <f>Package!C53</f>
        <v>0</v>
      </c>
      <c r="D53" s="72" t="str">
        <f>Package!D53</f>
        <v/>
      </c>
      <c r="E53" s="116"/>
      <c r="F53" s="72">
        <v>1946.0</v>
      </c>
      <c r="G53" s="72"/>
      <c r="H53" s="141" t="str">
        <f t="shared" si="1"/>
        <v>1946</v>
      </c>
      <c r="I53" s="153"/>
      <c r="J53" s="154"/>
      <c r="K53" s="155"/>
      <c r="L53" s="156"/>
      <c r="M53" s="155"/>
      <c r="N53" s="154"/>
      <c r="O53" s="157"/>
      <c r="P53" s="158"/>
      <c r="Q53" s="159"/>
      <c r="R53" s="160"/>
      <c r="S53" s="161"/>
      <c r="T53" s="162"/>
      <c r="U53" s="159"/>
      <c r="V53" s="160"/>
    </row>
    <row r="54" ht="14.25" customHeight="1">
      <c r="A54" s="22" t="s">
        <v>52</v>
      </c>
      <c r="B54" s="14"/>
      <c r="C54" s="72" t="str">
        <f>Package!C54</f>
        <v>0</v>
      </c>
      <c r="D54" s="72" t="str">
        <f>Package!D54</f>
        <v/>
      </c>
      <c r="E54" s="116"/>
      <c r="F54" s="72">
        <v>1761.0</v>
      </c>
      <c r="G54" s="72"/>
      <c r="H54" s="141" t="str">
        <f t="shared" si="1"/>
        <v>1761</v>
      </c>
      <c r="I54" s="153"/>
      <c r="J54" s="154"/>
      <c r="K54" s="155"/>
      <c r="L54" s="156"/>
      <c r="M54" s="155"/>
      <c r="N54" s="154"/>
      <c r="O54" s="157"/>
      <c r="P54" s="158"/>
      <c r="Q54" s="159"/>
      <c r="R54" s="160"/>
      <c r="S54" s="161"/>
      <c r="T54" s="162"/>
      <c r="U54" s="159" t="str">
        <f>F54-596</f>
        <v>1165</v>
      </c>
      <c r="V54" s="160"/>
    </row>
    <row r="55" ht="14.25" customHeight="1">
      <c r="A55" s="124" t="s">
        <v>53</v>
      </c>
      <c r="B55" s="124"/>
      <c r="C55" s="72" t="str">
        <f>Package!C55</f>
        <v/>
      </c>
      <c r="D55" s="72" t="str">
        <f>Package!D55</f>
        <v/>
      </c>
      <c r="E55" s="116"/>
      <c r="F55" s="72"/>
      <c r="G55" s="72"/>
      <c r="H55" s="141" t="str">
        <f t="shared" si="1"/>
        <v>0</v>
      </c>
      <c r="I55" s="153"/>
      <c r="J55" s="154"/>
      <c r="K55" s="155"/>
      <c r="L55" s="156"/>
      <c r="M55" s="155"/>
      <c r="N55" s="154"/>
      <c r="O55" s="157"/>
      <c r="P55" s="158"/>
      <c r="Q55" s="159"/>
      <c r="R55" s="160"/>
      <c r="S55" s="161"/>
      <c r="T55" s="162"/>
      <c r="U55" s="159"/>
      <c r="V55" s="160"/>
    </row>
    <row r="56" ht="14.25" customHeight="1">
      <c r="A56" s="124" t="s">
        <v>419</v>
      </c>
      <c r="B56" s="14"/>
      <c r="C56" s="72" t="str">
        <f>Package!C56</f>
        <v/>
      </c>
      <c r="D56" s="72" t="str">
        <f>Package!D56</f>
        <v/>
      </c>
      <c r="E56" s="116"/>
      <c r="F56" s="72">
        <v>1500.0</v>
      </c>
      <c r="G56" s="72"/>
      <c r="H56" s="141" t="str">
        <f t="shared" si="1"/>
        <v>1500</v>
      </c>
      <c r="I56" s="153"/>
      <c r="J56" s="154"/>
      <c r="K56" s="155"/>
      <c r="L56" s="156"/>
      <c r="M56" s="155"/>
      <c r="N56" s="154"/>
      <c r="O56" s="157"/>
      <c r="P56" s="158"/>
      <c r="Q56" s="159"/>
      <c r="R56" s="160"/>
      <c r="S56" s="161"/>
      <c r="T56" s="162"/>
      <c r="U56" s="159"/>
      <c r="V56" s="160"/>
    </row>
    <row r="57" ht="14.25" customHeight="1">
      <c r="A57" s="165" t="s">
        <v>420</v>
      </c>
      <c r="B57" s="124"/>
      <c r="C57" s="72" t="str">
        <f>Package!C57</f>
        <v/>
      </c>
      <c r="D57" s="72" t="str">
        <f>Package!D57</f>
        <v/>
      </c>
      <c r="E57" s="116"/>
      <c r="F57" s="72">
        <v>1207.0</v>
      </c>
      <c r="G57" s="72"/>
      <c r="H57" s="141" t="str">
        <f t="shared" si="1"/>
        <v>1207</v>
      </c>
      <c r="I57" s="153"/>
      <c r="J57" s="154"/>
      <c r="K57" s="155"/>
      <c r="L57" s="156"/>
      <c r="M57" s="155"/>
      <c r="N57" s="154"/>
      <c r="O57" s="157"/>
      <c r="P57" s="158"/>
      <c r="Q57" s="159"/>
      <c r="R57" s="160"/>
      <c r="S57" s="161"/>
      <c r="T57" s="162"/>
      <c r="U57" s="159"/>
      <c r="V57" s="160"/>
    </row>
    <row r="58" ht="14.25" customHeight="1">
      <c r="A58" s="14" t="s">
        <v>56</v>
      </c>
      <c r="B58" s="14"/>
      <c r="C58" s="72" t="str">
        <f>Package!C58</f>
        <v/>
      </c>
      <c r="D58" s="72" t="str">
        <f>Package!D58</f>
        <v/>
      </c>
      <c r="E58" s="116"/>
      <c r="F58" s="72"/>
      <c r="G58" s="72"/>
      <c r="H58" s="141" t="str">
        <f t="shared" si="1"/>
        <v>0</v>
      </c>
      <c r="I58" s="153"/>
      <c r="J58" s="154"/>
      <c r="K58" s="155"/>
      <c r="L58" s="156"/>
      <c r="M58" s="155"/>
      <c r="N58" s="154"/>
      <c r="O58" s="157"/>
      <c r="P58" s="158"/>
      <c r="Q58" s="159"/>
      <c r="R58" s="160"/>
      <c r="S58" s="161"/>
      <c r="T58" s="162"/>
      <c r="U58" s="159"/>
      <c r="V58" s="160"/>
    </row>
    <row r="59" ht="14.25" customHeight="1">
      <c r="A59" s="14" t="s">
        <v>57</v>
      </c>
      <c r="B59" s="14"/>
      <c r="C59" s="72" t="str">
        <f>Package!C59</f>
        <v/>
      </c>
      <c r="D59" s="72" t="str">
        <f>Package!D59</f>
        <v/>
      </c>
      <c r="E59" s="116"/>
      <c r="F59" s="72"/>
      <c r="G59" s="72"/>
      <c r="H59" s="141" t="str">
        <f t="shared" si="1"/>
        <v>0</v>
      </c>
      <c r="I59" s="153"/>
      <c r="J59" s="154"/>
      <c r="K59" s="155"/>
      <c r="L59" s="156"/>
      <c r="M59" s="155"/>
      <c r="N59" s="154"/>
      <c r="O59" s="157"/>
      <c r="P59" s="158"/>
      <c r="Q59" s="159"/>
      <c r="R59" s="160"/>
      <c r="S59" s="161"/>
      <c r="T59" s="162"/>
      <c r="U59" s="159"/>
      <c r="V59" s="160"/>
    </row>
    <row r="60" ht="14.25" customHeight="1">
      <c r="A60" s="16" t="s">
        <v>483</v>
      </c>
      <c r="B60" s="124"/>
      <c r="C60" s="72" t="str">
        <f>Package!C60</f>
        <v>0</v>
      </c>
      <c r="D60" s="72" t="str">
        <f>Package!D60</f>
        <v/>
      </c>
      <c r="E60" s="116"/>
      <c r="F60" s="72">
        <v>2000.0</v>
      </c>
      <c r="G60" s="72"/>
      <c r="H60" s="141" t="str">
        <f t="shared" si="1"/>
        <v>2000</v>
      </c>
      <c r="I60" s="153"/>
      <c r="J60" s="154"/>
      <c r="K60" s="155"/>
      <c r="L60" s="156"/>
      <c r="M60" s="155"/>
      <c r="N60" s="154"/>
      <c r="O60" s="157"/>
      <c r="P60" s="158"/>
      <c r="Q60" s="159"/>
      <c r="R60" s="160"/>
      <c r="S60" s="161"/>
      <c r="T60" s="162"/>
      <c r="U60" s="159"/>
      <c r="V60" s="160"/>
    </row>
    <row r="61" ht="14.25" customHeight="1">
      <c r="A61" s="15" t="s">
        <v>484</v>
      </c>
      <c r="B61" s="124"/>
      <c r="C61" s="72" t="str">
        <f>Package!C61</f>
        <v>0</v>
      </c>
      <c r="D61" s="72" t="str">
        <f>Package!D61</f>
        <v/>
      </c>
      <c r="E61" s="116"/>
      <c r="F61" s="72">
        <v>3686.0</v>
      </c>
      <c r="G61" s="72"/>
      <c r="H61" s="141" t="str">
        <f t="shared" si="1"/>
        <v>3686</v>
      </c>
      <c r="I61" s="153"/>
      <c r="J61" s="154"/>
      <c r="K61" s="155"/>
      <c r="L61" s="156"/>
      <c r="M61" s="155"/>
      <c r="N61" s="154"/>
      <c r="O61" s="157"/>
      <c r="P61" s="158"/>
      <c r="Q61" s="159"/>
      <c r="R61" s="160"/>
      <c r="S61" s="161"/>
      <c r="T61" s="162"/>
      <c r="U61" s="159"/>
      <c r="V61" s="160"/>
    </row>
    <row r="62" ht="14.25" customHeight="1">
      <c r="A62" s="15" t="s">
        <v>485</v>
      </c>
      <c r="B62" s="124">
        <v>1.0</v>
      </c>
      <c r="C62" s="72" t="str">
        <f>Package!C62</f>
        <v>681</v>
      </c>
      <c r="D62" s="72" t="str">
        <f>Package!D62</f>
        <v/>
      </c>
      <c r="E62" s="116"/>
      <c r="F62" s="72">
        <v>17.0</v>
      </c>
      <c r="G62" s="72"/>
      <c r="H62" s="141" t="str">
        <f t="shared" si="1"/>
        <v>-664</v>
      </c>
      <c r="I62" s="153"/>
      <c r="J62" s="154"/>
      <c r="K62" s="155"/>
      <c r="L62" s="156"/>
      <c r="M62" s="155"/>
      <c r="N62" s="154"/>
      <c r="O62" s="157"/>
      <c r="P62" s="158"/>
      <c r="Q62" s="159"/>
      <c r="R62" s="160"/>
      <c r="S62" s="161"/>
      <c r="T62" s="162"/>
      <c r="U62" s="159"/>
      <c r="V62" s="160"/>
    </row>
    <row r="63" ht="14.25" customHeight="1">
      <c r="A63" s="24" t="s">
        <v>61</v>
      </c>
      <c r="B63" s="124"/>
      <c r="C63" s="72" t="str">
        <f>Package!C63</f>
        <v>0</v>
      </c>
      <c r="D63" s="72" t="str">
        <f>Package!D63</f>
        <v>0</v>
      </c>
      <c r="E63" s="116"/>
      <c r="F63" s="72">
        <v>3677.0</v>
      </c>
      <c r="G63" s="72"/>
      <c r="H63" s="141" t="str">
        <f t="shared" si="1"/>
        <v>3677</v>
      </c>
      <c r="I63" s="153"/>
      <c r="J63" s="154"/>
      <c r="K63" s="155"/>
      <c r="L63" s="156"/>
      <c r="M63" s="155"/>
      <c r="N63" s="154"/>
      <c r="O63" s="157" t="str">
        <f>F63-1523</f>
        <v>2154</v>
      </c>
      <c r="P63" s="158"/>
      <c r="Q63" s="159"/>
      <c r="R63" s="160"/>
      <c r="S63" s="161"/>
      <c r="T63" s="162"/>
      <c r="U63" s="159"/>
      <c r="V63" s="160"/>
    </row>
    <row r="64" ht="14.25" customHeight="1">
      <c r="A64" s="124" t="s">
        <v>62</v>
      </c>
      <c r="B64" s="124"/>
      <c r="C64" s="72" t="str">
        <f>Package!C64</f>
        <v/>
      </c>
      <c r="D64" s="72" t="str">
        <f>Package!D64</f>
        <v/>
      </c>
      <c r="E64" s="116"/>
      <c r="F64" s="72">
        <v>1447.0</v>
      </c>
      <c r="G64" s="72"/>
      <c r="H64" s="141" t="str">
        <f t="shared" si="1"/>
        <v>1447</v>
      </c>
      <c r="I64" s="153"/>
      <c r="J64" s="154"/>
      <c r="K64" s="155"/>
      <c r="L64" s="156"/>
      <c r="M64" s="155"/>
      <c r="N64" s="154"/>
      <c r="O64" s="157"/>
      <c r="P64" s="158"/>
      <c r="Q64" s="159"/>
      <c r="R64" s="160"/>
      <c r="S64" s="161"/>
      <c r="T64" s="162"/>
      <c r="U64" s="159" t="str">
        <f>F64-534</f>
        <v>913</v>
      </c>
      <c r="V64" s="160"/>
    </row>
    <row r="65" ht="14.25" customHeight="1">
      <c r="A65" s="24" t="s">
        <v>63</v>
      </c>
      <c r="B65" s="124"/>
      <c r="C65" s="72" t="str">
        <f>Package!C65</f>
        <v>0</v>
      </c>
      <c r="D65" s="72" t="str">
        <f>Package!D65</f>
        <v>0</v>
      </c>
      <c r="E65" s="116"/>
      <c r="F65" s="72">
        <v>1349.0</v>
      </c>
      <c r="G65" s="72">
        <v>2037.0</v>
      </c>
      <c r="H65" s="141" t="str">
        <f t="shared" si="1"/>
        <v>1349</v>
      </c>
      <c r="I65" s="153"/>
      <c r="J65" s="154"/>
      <c r="K65" s="155"/>
      <c r="L65" s="156"/>
      <c r="M65" s="155"/>
      <c r="N65" s="154"/>
      <c r="O65" s="157"/>
      <c r="P65" s="158"/>
      <c r="Q65" s="159"/>
      <c r="R65" s="160"/>
      <c r="S65" s="161"/>
      <c r="T65" s="162"/>
      <c r="U65" s="159"/>
      <c r="V65" s="160"/>
    </row>
    <row r="66" ht="14.25" customHeight="1">
      <c r="A66" s="24" t="s">
        <v>64</v>
      </c>
      <c r="B66" s="14"/>
      <c r="C66" s="72" t="str">
        <f>Package!C66</f>
        <v>0</v>
      </c>
      <c r="D66" s="72" t="str">
        <f>Package!D66</f>
        <v/>
      </c>
      <c r="E66" s="116"/>
      <c r="F66" s="72">
        <v>952.0</v>
      </c>
      <c r="G66" s="72"/>
      <c r="H66" s="141" t="str">
        <f t="shared" si="1"/>
        <v>952</v>
      </c>
      <c r="I66" s="153"/>
      <c r="J66" s="154"/>
      <c r="K66" s="155"/>
      <c r="L66" s="156"/>
      <c r="M66" s="155"/>
      <c r="N66" s="154"/>
      <c r="O66" s="157"/>
      <c r="P66" s="158"/>
      <c r="Q66" s="159"/>
      <c r="R66" s="160"/>
      <c r="S66" s="161"/>
      <c r="T66" s="162"/>
      <c r="U66" s="159"/>
      <c r="V66" s="160"/>
    </row>
    <row r="67" ht="14.25" customHeight="1">
      <c r="A67" s="25" t="s">
        <v>65</v>
      </c>
      <c r="B67" s="124"/>
      <c r="C67" s="72" t="str">
        <f>Package!C67</f>
        <v>0</v>
      </c>
      <c r="D67" s="72" t="str">
        <f>Package!D67</f>
        <v>0</v>
      </c>
      <c r="E67" s="116"/>
      <c r="F67" s="72">
        <v>2548.0</v>
      </c>
      <c r="G67" s="72">
        <v>3110.0</v>
      </c>
      <c r="H67" s="141" t="str">
        <f t="shared" si="1"/>
        <v>2548</v>
      </c>
      <c r="I67" s="153"/>
      <c r="J67" s="154"/>
      <c r="K67" s="155"/>
      <c r="L67" s="156"/>
      <c r="M67" s="155"/>
      <c r="N67" s="154"/>
      <c r="O67" s="157"/>
      <c r="P67" s="158"/>
      <c r="Q67" s="159" t="str">
        <f>F67-1568</f>
        <v>980</v>
      </c>
      <c r="R67" s="160" t="str">
        <f>G67-1344</f>
        <v>1766</v>
      </c>
      <c r="S67" s="161"/>
      <c r="T67" s="162"/>
      <c r="U67" s="159"/>
      <c r="V67" s="160"/>
    </row>
    <row r="68" ht="14.25" customHeight="1">
      <c r="A68" s="124" t="s">
        <v>66</v>
      </c>
      <c r="B68" s="124">
        <v>0.5</v>
      </c>
      <c r="C68" s="72" t="str">
        <f>Package!C68</f>
        <v>301.5</v>
      </c>
      <c r="D68" s="72" t="str">
        <f>Package!D68</f>
        <v/>
      </c>
      <c r="E68" s="116"/>
      <c r="F68" s="72">
        <v>2000.0</v>
      </c>
      <c r="G68" s="72"/>
      <c r="H68" s="141" t="str">
        <f t="shared" si="1"/>
        <v>1698.5</v>
      </c>
      <c r="I68" s="153"/>
      <c r="J68" s="154"/>
      <c r="K68" s="155"/>
      <c r="L68" s="156" t="str">
        <f>F68-303</f>
        <v>1697</v>
      </c>
      <c r="M68" s="155"/>
      <c r="N68" s="154"/>
      <c r="O68" s="157"/>
      <c r="P68" s="158"/>
      <c r="Q68" s="159"/>
      <c r="R68" s="160"/>
      <c r="S68" s="161"/>
      <c r="T68" s="162"/>
      <c r="U68" s="159" t="str">
        <f>L68-310</f>
        <v>1387</v>
      </c>
      <c r="V68" s="160"/>
    </row>
    <row r="69" ht="14.25" customHeight="1">
      <c r="A69" s="24" t="s">
        <v>67</v>
      </c>
      <c r="B69" s="124"/>
      <c r="C69" s="72" t="str">
        <f>Package!C69</f>
        <v>0</v>
      </c>
      <c r="D69" s="72" t="str">
        <f>Package!D69</f>
        <v>0</v>
      </c>
      <c r="E69" s="116"/>
      <c r="F69" s="72">
        <v>1671.0</v>
      </c>
      <c r="G69" s="72">
        <v>1920.0</v>
      </c>
      <c r="H69" s="141" t="str">
        <f t="shared" si="1"/>
        <v>1671</v>
      </c>
      <c r="I69" s="153"/>
      <c r="J69" s="154"/>
      <c r="K69" s="155"/>
      <c r="L69" s="156"/>
      <c r="M69" s="155"/>
      <c r="N69" s="154"/>
      <c r="O69" s="157"/>
      <c r="P69" s="158"/>
      <c r="Q69" s="159"/>
      <c r="R69" s="160"/>
      <c r="S69" s="161"/>
      <c r="T69" s="162"/>
      <c r="U69" s="159" t="str">
        <f>F69-1564</f>
        <v>107</v>
      </c>
      <c r="V69" s="160" t="str">
        <f>G69-1338</f>
        <v>582</v>
      </c>
    </row>
    <row r="70" ht="14.25" customHeight="1">
      <c r="A70" s="24" t="s">
        <v>68</v>
      </c>
      <c r="B70" s="124">
        <v>0.5</v>
      </c>
      <c r="C70" s="72" t="str">
        <f>Package!C70</f>
        <v>1554</v>
      </c>
      <c r="D70" s="72" t="str">
        <f>Package!D70</f>
        <v>1332</v>
      </c>
      <c r="E70" s="116"/>
      <c r="F70" s="72">
        <v>5023.0</v>
      </c>
      <c r="G70" s="72">
        <v>5817.0</v>
      </c>
      <c r="H70" s="141" t="str">
        <f t="shared" si="1"/>
        <v>3469</v>
      </c>
      <c r="I70" s="153"/>
      <c r="J70" s="154"/>
      <c r="K70" s="155"/>
      <c r="L70" s="156"/>
      <c r="M70" s="155"/>
      <c r="N70" s="154"/>
      <c r="O70" s="157"/>
      <c r="P70" s="158"/>
      <c r="Q70" s="159" t="str">
        <f>F70-1565</f>
        <v>3458</v>
      </c>
      <c r="R70" s="160" t="str">
        <f>G70-1338</f>
        <v>4479</v>
      </c>
      <c r="S70" s="161"/>
      <c r="T70" s="162"/>
      <c r="U70" s="159"/>
      <c r="V70" s="160"/>
    </row>
    <row r="71" ht="14.25" customHeight="1">
      <c r="A71" s="24" t="s">
        <v>69</v>
      </c>
      <c r="B71" s="124">
        <v>0.5</v>
      </c>
      <c r="C71" s="72" t="str">
        <f>Package!C71</f>
        <v>297</v>
      </c>
      <c r="D71" s="72" t="str">
        <f>Package!D71</f>
        <v/>
      </c>
      <c r="E71" s="116"/>
      <c r="F71" s="72">
        <v>1654.0</v>
      </c>
      <c r="G71" s="72"/>
      <c r="H71" s="141" t="str">
        <f t="shared" si="1"/>
        <v>1357</v>
      </c>
      <c r="I71" s="153"/>
      <c r="J71" s="154"/>
      <c r="K71" s="155"/>
      <c r="L71" s="156" t="str">
        <f>F71-591</f>
        <v>1063</v>
      </c>
      <c r="M71" s="155"/>
      <c r="N71" s="154"/>
      <c r="O71" s="157"/>
      <c r="P71" s="158"/>
      <c r="Q71" s="159"/>
      <c r="R71" s="160"/>
      <c r="S71" s="161"/>
      <c r="T71" s="162"/>
      <c r="U71" s="159"/>
      <c r="V71" s="160"/>
    </row>
    <row r="72" ht="14.25" customHeight="1">
      <c r="A72" s="24" t="s">
        <v>70</v>
      </c>
      <c r="B72" s="124"/>
      <c r="C72" s="72" t="str">
        <f>Package!C72</f>
        <v>0</v>
      </c>
      <c r="D72" s="72" t="str">
        <f>Package!D72</f>
        <v/>
      </c>
      <c r="E72" s="116"/>
      <c r="F72" s="72">
        <v>2397.0</v>
      </c>
      <c r="G72" s="72"/>
      <c r="H72" s="141" t="str">
        <f t="shared" si="1"/>
        <v>2397</v>
      </c>
      <c r="I72" s="153"/>
      <c r="J72" s="154"/>
      <c r="K72" s="155"/>
      <c r="L72" s="156"/>
      <c r="M72" s="155"/>
      <c r="N72" s="154" t="str">
        <f>F72-1505</f>
        <v>892</v>
      </c>
      <c r="O72" s="157"/>
      <c r="P72" s="158"/>
      <c r="Q72" s="159"/>
      <c r="R72" s="160"/>
      <c r="S72" s="161"/>
      <c r="T72" s="162"/>
      <c r="U72" s="159"/>
      <c r="V72" s="160"/>
    </row>
    <row r="73" ht="14.25" customHeight="1">
      <c r="A73" s="24" t="s">
        <v>71</v>
      </c>
      <c r="B73" s="124">
        <v>0.5</v>
      </c>
      <c r="C73" s="72" t="str">
        <f>Package!C73</f>
        <v>1078</v>
      </c>
      <c r="D73" s="72" t="str">
        <f>Package!D73</f>
        <v/>
      </c>
      <c r="E73" s="116"/>
      <c r="F73" s="72"/>
      <c r="G73" s="72"/>
      <c r="H73" s="141" t="str">
        <f t="shared" si="1"/>
        <v>-1078</v>
      </c>
      <c r="I73" s="153"/>
      <c r="J73" s="154"/>
      <c r="K73" s="155"/>
      <c r="L73" s="156"/>
      <c r="M73" s="155"/>
      <c r="N73" s="154"/>
      <c r="O73" s="157"/>
      <c r="P73" s="158"/>
      <c r="Q73" s="159"/>
      <c r="R73" s="160"/>
      <c r="S73" s="161"/>
      <c r="T73" s="162"/>
      <c r="U73" s="159"/>
      <c r="V73" s="160"/>
    </row>
    <row r="74" ht="14.25" customHeight="1">
      <c r="A74" s="24" t="s">
        <v>72</v>
      </c>
      <c r="B74" s="124">
        <v>1.0</v>
      </c>
      <c r="C74" s="72" t="str">
        <f>Package!C74</f>
        <v>2800</v>
      </c>
      <c r="D74" s="72" t="str">
        <f>Package!D74</f>
        <v/>
      </c>
      <c r="E74" s="116"/>
      <c r="F74" s="72">
        <v>2418.0</v>
      </c>
      <c r="G74" s="72"/>
      <c r="H74" s="141" t="str">
        <f t="shared" si="1"/>
        <v>-382</v>
      </c>
      <c r="I74" s="153"/>
      <c r="J74" s="154"/>
      <c r="K74" s="155"/>
      <c r="L74" s="156"/>
      <c r="M74" s="155"/>
      <c r="N74" s="154"/>
      <c r="O74" s="157"/>
      <c r="P74" s="158"/>
      <c r="Q74" s="159"/>
      <c r="R74" s="160"/>
      <c r="S74" s="161"/>
      <c r="T74" s="162"/>
      <c r="U74" s="159"/>
      <c r="V74" s="160"/>
    </row>
    <row r="75" ht="14.25" customHeight="1">
      <c r="A75" s="24" t="s">
        <v>73</v>
      </c>
      <c r="B75" s="124"/>
      <c r="C75" s="72" t="str">
        <f>Package!C75</f>
        <v>0</v>
      </c>
      <c r="D75" s="72" t="str">
        <f>Package!D75</f>
        <v/>
      </c>
      <c r="E75" s="116"/>
      <c r="F75" s="72">
        <v>477.0</v>
      </c>
      <c r="G75" s="72"/>
      <c r="H75" s="13" t="str">
        <f t="shared" si="1"/>
        <v>477</v>
      </c>
      <c r="I75" s="153"/>
      <c r="J75" s="154"/>
      <c r="K75" s="155"/>
      <c r="L75" s="156"/>
      <c r="M75" s="155"/>
      <c r="N75" s="154"/>
      <c r="O75" s="157"/>
      <c r="P75" s="158"/>
      <c r="Q75" s="159"/>
      <c r="R75" s="160"/>
      <c r="S75" s="161"/>
      <c r="T75" s="162"/>
      <c r="U75" s="159"/>
      <c r="V75" s="160"/>
    </row>
    <row r="76" ht="14.25" customHeight="1">
      <c r="A76" s="14" t="s">
        <v>74</v>
      </c>
      <c r="B76" s="124">
        <v>2.0</v>
      </c>
      <c r="C76" s="72" t="str">
        <f>Package!C76</f>
        <v/>
      </c>
      <c r="D76" s="72" t="str">
        <f>Package!D76</f>
        <v/>
      </c>
      <c r="E76" s="116"/>
      <c r="F76" s="72">
        <v>2505.0</v>
      </c>
      <c r="G76" s="72"/>
      <c r="H76" s="141" t="str">
        <f t="shared" si="1"/>
        <v>2505</v>
      </c>
      <c r="I76" s="153"/>
      <c r="J76" s="154"/>
      <c r="K76" s="155"/>
      <c r="L76" s="156"/>
      <c r="M76" s="155"/>
      <c r="N76" s="154"/>
      <c r="O76" s="157"/>
      <c r="P76" s="158"/>
      <c r="Q76" s="159"/>
      <c r="R76" s="160"/>
      <c r="S76" s="161"/>
      <c r="T76" s="162"/>
      <c r="U76" s="159"/>
      <c r="V76" s="160"/>
    </row>
    <row r="77" ht="14.25" customHeight="1">
      <c r="A77" s="14" t="s">
        <v>75</v>
      </c>
      <c r="B77" s="14">
        <v>0.5</v>
      </c>
      <c r="C77" s="72" t="str">
        <f>Package!C77</f>
        <v>270</v>
      </c>
      <c r="D77" s="72" t="str">
        <f>Package!D77</f>
        <v/>
      </c>
      <c r="E77" s="116"/>
      <c r="F77" s="72">
        <v>1189.0</v>
      </c>
      <c r="G77" s="72"/>
      <c r="H77" s="141" t="str">
        <f t="shared" si="1"/>
        <v>919</v>
      </c>
      <c r="I77" s="153"/>
      <c r="J77" s="154" t="str">
        <f>F77-582</f>
        <v>607</v>
      </c>
      <c r="K77" s="155"/>
      <c r="L77" s="156"/>
      <c r="M77" s="155"/>
      <c r="N77" s="154"/>
      <c r="O77" s="157"/>
      <c r="P77" s="158"/>
      <c r="Q77" s="159"/>
      <c r="R77" s="160"/>
      <c r="S77" s="161"/>
      <c r="T77" s="162"/>
      <c r="U77" s="159"/>
      <c r="V77" s="160"/>
    </row>
    <row r="78" ht="14.25" customHeight="1">
      <c r="A78" s="27" t="s">
        <v>76</v>
      </c>
      <c r="B78" s="14"/>
      <c r="C78" s="72" t="str">
        <f>Package!C78</f>
        <v>0</v>
      </c>
      <c r="D78" s="72" t="str">
        <f>Package!D78</f>
        <v/>
      </c>
      <c r="E78" s="116"/>
      <c r="F78" s="72">
        <v>1337.0</v>
      </c>
      <c r="G78" s="72"/>
      <c r="H78" s="141" t="str">
        <f t="shared" si="1"/>
        <v>1337</v>
      </c>
      <c r="I78" s="153"/>
      <c r="J78" s="154"/>
      <c r="K78" s="155"/>
      <c r="L78" s="156"/>
      <c r="M78" s="155"/>
      <c r="N78" s="154"/>
      <c r="O78" s="157"/>
      <c r="P78" s="158"/>
      <c r="Q78" s="159"/>
      <c r="R78" s="160"/>
      <c r="S78" s="161"/>
      <c r="T78" s="162"/>
      <c r="U78" s="159"/>
      <c r="V78" s="160"/>
    </row>
    <row r="79" ht="14.25" customHeight="1">
      <c r="A79" s="27" t="s">
        <v>77</v>
      </c>
      <c r="B79" s="14">
        <v>1.0</v>
      </c>
      <c r="C79" s="72" t="str">
        <f>Package!C79</f>
        <v>582</v>
      </c>
      <c r="D79" s="72" t="str">
        <f>Package!D79</f>
        <v/>
      </c>
      <c r="E79" s="116"/>
      <c r="F79" s="72">
        <v>720.0</v>
      </c>
      <c r="G79" s="72"/>
      <c r="H79" s="141" t="str">
        <f t="shared" si="1"/>
        <v>138</v>
      </c>
      <c r="I79" s="153"/>
      <c r="J79" s="154" t="str">
        <f>F79-282</f>
        <v>438</v>
      </c>
      <c r="K79" s="155"/>
      <c r="L79" s="156"/>
      <c r="M79" s="155"/>
      <c r="N79" s="154"/>
      <c r="O79" s="157"/>
      <c r="P79" s="158"/>
      <c r="Q79" s="159"/>
      <c r="R79" s="160"/>
      <c r="S79" s="161"/>
      <c r="T79" s="162"/>
      <c r="U79" s="159"/>
      <c r="V79" s="160"/>
    </row>
    <row r="80" ht="14.25" customHeight="1">
      <c r="A80" s="14" t="s">
        <v>78</v>
      </c>
      <c r="B80" s="14">
        <v>1.0</v>
      </c>
      <c r="C80" s="72" t="str">
        <f>Package!C80</f>
        <v/>
      </c>
      <c r="D80" s="72" t="str">
        <f>Package!D80</f>
        <v/>
      </c>
      <c r="E80" s="116"/>
      <c r="F80" s="72">
        <v>1805.0</v>
      </c>
      <c r="G80" s="72"/>
      <c r="H80" s="141" t="str">
        <f t="shared" si="1"/>
        <v>1805</v>
      </c>
      <c r="I80" s="153"/>
      <c r="J80" s="154"/>
      <c r="K80" s="155"/>
      <c r="L80" s="156"/>
      <c r="M80" s="155"/>
      <c r="N80" s="154"/>
      <c r="O80" s="157"/>
      <c r="P80" s="158"/>
      <c r="Q80" s="159"/>
      <c r="R80" s="160"/>
      <c r="S80" s="161"/>
      <c r="T80" s="162"/>
      <c r="U80" s="159"/>
      <c r="V80" s="160"/>
    </row>
    <row r="81" ht="14.25" customHeight="1">
      <c r="A81" s="14" t="s">
        <v>79</v>
      </c>
      <c r="B81" s="14"/>
      <c r="C81" s="72" t="str">
        <f>Package!C81</f>
        <v/>
      </c>
      <c r="D81" s="72" t="str">
        <f>Package!D81</f>
        <v/>
      </c>
      <c r="E81" s="116"/>
      <c r="F81" s="72">
        <v>2461.0</v>
      </c>
      <c r="G81" s="72"/>
      <c r="H81" s="141" t="str">
        <f t="shared" si="1"/>
        <v>2461</v>
      </c>
      <c r="I81" s="153"/>
      <c r="J81" s="154"/>
      <c r="K81" s="155"/>
      <c r="L81" s="156"/>
      <c r="M81" s="155"/>
      <c r="N81" s="154"/>
      <c r="O81" s="157"/>
      <c r="P81" s="158"/>
      <c r="Q81" s="159"/>
      <c r="R81" s="160"/>
      <c r="S81" s="161"/>
      <c r="T81" s="162"/>
      <c r="U81" s="159"/>
      <c r="V81" s="160"/>
    </row>
    <row r="82" ht="14.25" customHeight="1">
      <c r="A82" s="14" t="s">
        <v>80</v>
      </c>
      <c r="B82" s="14"/>
      <c r="C82" s="72" t="str">
        <f>Package!C82</f>
        <v/>
      </c>
      <c r="D82" s="72" t="str">
        <f>Package!D82</f>
        <v/>
      </c>
      <c r="E82" s="116"/>
      <c r="F82" s="72">
        <v>2483.0</v>
      </c>
      <c r="G82" s="72"/>
      <c r="H82" s="141" t="str">
        <f t="shared" si="1"/>
        <v>2483</v>
      </c>
      <c r="I82" s="153"/>
      <c r="J82" s="154"/>
      <c r="K82" s="155"/>
      <c r="L82" s="156"/>
      <c r="M82" s="155"/>
      <c r="N82" s="154"/>
      <c r="O82" s="157"/>
      <c r="P82" s="158"/>
      <c r="Q82" s="159"/>
      <c r="R82" s="160"/>
      <c r="S82" s="161"/>
      <c r="T82" s="162"/>
      <c r="U82" s="159"/>
      <c r="V82" s="160"/>
    </row>
    <row r="83" ht="14.25" customHeight="1">
      <c r="A83" s="26" t="s">
        <v>81</v>
      </c>
      <c r="B83" s="14"/>
      <c r="C83" s="72" t="str">
        <f>Package!C83</f>
        <v>0</v>
      </c>
      <c r="D83" s="72" t="str">
        <f>Package!D83</f>
        <v/>
      </c>
      <c r="E83" s="116"/>
      <c r="F83" s="72">
        <v>2199.0</v>
      </c>
      <c r="G83" s="72"/>
      <c r="H83" s="141" t="str">
        <f t="shared" si="1"/>
        <v>2199</v>
      </c>
      <c r="I83" s="153"/>
      <c r="J83" s="154"/>
      <c r="K83" s="155"/>
      <c r="L83" s="156"/>
      <c r="M83" s="155"/>
      <c r="N83" s="154"/>
      <c r="O83" s="157"/>
      <c r="P83" s="158"/>
      <c r="Q83" s="159"/>
      <c r="R83" s="160"/>
      <c r="S83" s="161"/>
      <c r="T83" s="162"/>
      <c r="U83" s="159"/>
      <c r="V83" s="160"/>
    </row>
    <row r="84" ht="14.25" customHeight="1">
      <c r="A84" s="17" t="s">
        <v>82</v>
      </c>
      <c r="B84" s="14"/>
      <c r="C84" s="72" t="str">
        <f>Package!C84</f>
        <v>0</v>
      </c>
      <c r="D84" s="72" t="str">
        <f>Package!D84</f>
        <v/>
      </c>
      <c r="E84" s="116"/>
      <c r="F84" s="72">
        <v>1412.0</v>
      </c>
      <c r="G84" s="72"/>
      <c r="H84" s="141" t="str">
        <f t="shared" si="1"/>
        <v>1412</v>
      </c>
      <c r="I84" s="153" t="str">
        <f>F84-98</f>
        <v>1314</v>
      </c>
      <c r="J84" s="154"/>
      <c r="K84" s="155"/>
      <c r="L84" s="156"/>
      <c r="M84" s="155" t="str">
        <f>F84-96</f>
        <v>1316</v>
      </c>
      <c r="N84" s="154"/>
      <c r="O84" s="157"/>
      <c r="P84" s="158"/>
      <c r="Q84" s="159"/>
      <c r="R84" s="160"/>
      <c r="S84" s="161"/>
      <c r="T84" s="162"/>
      <c r="U84" s="159"/>
      <c r="V84" s="160"/>
    </row>
    <row r="85" ht="14.25" customHeight="1">
      <c r="A85" s="14" t="s">
        <v>83</v>
      </c>
      <c r="B85" s="14">
        <v>1.0</v>
      </c>
      <c r="C85" s="72" t="str">
        <f>Package!C85</f>
        <v>80</v>
      </c>
      <c r="D85" s="72" t="str">
        <f>Package!D85</f>
        <v/>
      </c>
      <c r="E85" s="116"/>
      <c r="F85" s="72">
        <v>1367.0</v>
      </c>
      <c r="G85" s="72"/>
      <c r="H85" s="141" t="str">
        <f t="shared" si="1"/>
        <v>1287</v>
      </c>
      <c r="I85" s="153"/>
      <c r="J85" s="154"/>
      <c r="K85" s="155"/>
      <c r="L85" s="156"/>
      <c r="M85" s="155"/>
      <c r="N85" s="154"/>
      <c r="O85" s="157"/>
      <c r="P85" s="158"/>
      <c r="Q85" s="159"/>
      <c r="R85" s="160"/>
      <c r="S85" s="161"/>
      <c r="T85" s="162"/>
      <c r="U85" s="159"/>
      <c r="V85" s="160"/>
    </row>
    <row r="86" ht="14.25" customHeight="1">
      <c r="A86" s="17" t="s">
        <v>84</v>
      </c>
      <c r="B86" s="14">
        <v>3.0</v>
      </c>
      <c r="C86" s="72" t="str">
        <f>Package!C86</f>
        <v>249</v>
      </c>
      <c r="D86" s="72" t="str">
        <f>Package!D86</f>
        <v/>
      </c>
      <c r="E86" s="116"/>
      <c r="F86" s="72">
        <v>2275.0</v>
      </c>
      <c r="G86" s="72"/>
      <c r="H86" s="141" t="str">
        <f t="shared" si="1"/>
        <v>2026</v>
      </c>
      <c r="I86" s="153"/>
      <c r="J86" s="154"/>
      <c r="K86" s="155"/>
      <c r="L86" s="156"/>
      <c r="M86" s="155"/>
      <c r="N86" s="154"/>
      <c r="O86" s="157"/>
      <c r="P86" s="158"/>
      <c r="Q86" s="159"/>
      <c r="R86" s="160"/>
      <c r="S86" s="161"/>
      <c r="T86" s="162"/>
      <c r="U86" s="159"/>
      <c r="V86" s="160"/>
    </row>
    <row r="87" ht="14.25" customHeight="1">
      <c r="A87" s="82" t="s">
        <v>486</v>
      </c>
      <c r="B87" s="82"/>
      <c r="C87" s="82"/>
      <c r="D87" s="82"/>
      <c r="E87" s="116"/>
      <c r="F87" s="72">
        <v>696.0</v>
      </c>
      <c r="G87" s="72"/>
      <c r="H87" s="141" t="str">
        <f t="shared" si="1"/>
        <v>696</v>
      </c>
      <c r="I87" s="153"/>
      <c r="J87" s="154"/>
      <c r="K87" s="155"/>
      <c r="L87" s="156"/>
      <c r="M87" s="155"/>
      <c r="N87" s="154"/>
      <c r="O87" s="157"/>
      <c r="P87" s="158"/>
      <c r="Q87" s="159"/>
      <c r="R87" s="160"/>
      <c r="S87" s="161"/>
      <c r="T87" s="162"/>
      <c r="U87" s="159"/>
      <c r="V87" s="160"/>
    </row>
    <row r="88" ht="14.25" customHeight="1">
      <c r="B88" s="13"/>
      <c r="E88" s="141"/>
      <c r="F88" s="73"/>
      <c r="G88" s="73"/>
      <c r="H88" s="141"/>
      <c r="I88" s="153"/>
      <c r="J88" s="154"/>
      <c r="K88" s="155"/>
      <c r="L88" s="156"/>
      <c r="M88" s="155"/>
      <c r="N88" s="154"/>
      <c r="O88" s="157"/>
      <c r="P88" s="158"/>
      <c r="Q88" s="159"/>
      <c r="R88" s="160"/>
      <c r="S88" s="161"/>
      <c r="T88" s="162"/>
      <c r="U88" s="159"/>
      <c r="V88" s="160"/>
    </row>
    <row r="89" ht="14.25" customHeight="1">
      <c r="B89" s="13"/>
      <c r="E89" s="141"/>
      <c r="F89" s="73"/>
      <c r="G89" s="73"/>
      <c r="H89" s="141"/>
      <c r="I89" s="153"/>
      <c r="J89" s="154"/>
      <c r="K89" s="155"/>
      <c r="L89" s="156"/>
      <c r="M89" s="155"/>
      <c r="N89" s="154"/>
      <c r="O89" s="157"/>
      <c r="P89" s="158"/>
      <c r="Q89" s="159"/>
      <c r="R89" s="160"/>
      <c r="S89" s="161"/>
      <c r="T89" s="162"/>
      <c r="U89" s="159"/>
      <c r="V89" s="160"/>
    </row>
    <row r="90" ht="14.25" customHeight="1">
      <c r="B90" s="13"/>
      <c r="E90" s="141"/>
      <c r="F90" s="73"/>
      <c r="G90" s="73"/>
      <c r="H90" s="141"/>
      <c r="I90" s="153"/>
      <c r="J90" s="154"/>
      <c r="K90" s="155"/>
      <c r="L90" s="156"/>
      <c r="M90" s="155"/>
      <c r="N90" s="154"/>
      <c r="O90" s="157"/>
      <c r="P90" s="158"/>
      <c r="Q90" s="159"/>
      <c r="R90" s="160"/>
      <c r="S90" s="161"/>
      <c r="T90" s="162"/>
      <c r="U90" s="159"/>
      <c r="V90" s="160"/>
    </row>
    <row r="91" ht="14.25" customHeight="1">
      <c r="B91" s="13"/>
      <c r="E91" s="141"/>
      <c r="F91" s="73"/>
      <c r="G91" s="73"/>
      <c r="H91" s="141"/>
      <c r="I91" s="153"/>
      <c r="J91" s="154"/>
      <c r="K91" s="155"/>
      <c r="L91" s="156"/>
      <c r="M91" s="155"/>
      <c r="N91" s="154"/>
      <c r="O91" s="157"/>
      <c r="P91" s="158"/>
      <c r="Q91" s="159"/>
      <c r="R91" s="160"/>
      <c r="S91" s="161"/>
      <c r="T91" s="162"/>
      <c r="U91" s="159"/>
      <c r="V91" s="160"/>
    </row>
    <row r="92" ht="14.25" customHeight="1">
      <c r="B92" s="13"/>
      <c r="E92" s="141"/>
      <c r="F92" s="73"/>
      <c r="G92" s="73"/>
      <c r="H92" s="141"/>
      <c r="I92" s="153"/>
      <c r="J92" s="154"/>
      <c r="K92" s="155"/>
      <c r="L92" s="156"/>
      <c r="M92" s="155"/>
      <c r="N92" s="154"/>
      <c r="O92" s="157"/>
      <c r="P92" s="158"/>
      <c r="Q92" s="159"/>
      <c r="R92" s="160"/>
      <c r="S92" s="161"/>
      <c r="T92" s="162"/>
      <c r="U92" s="159"/>
      <c r="V92" s="160"/>
    </row>
    <row r="93" ht="14.25" customHeight="1">
      <c r="B93" s="13"/>
      <c r="E93" s="141"/>
      <c r="F93" s="73"/>
      <c r="G93" s="73"/>
      <c r="H93" s="141"/>
      <c r="I93" s="153"/>
      <c r="J93" s="154"/>
      <c r="K93" s="155"/>
      <c r="L93" s="156"/>
      <c r="M93" s="155"/>
      <c r="N93" s="154"/>
      <c r="O93" s="157"/>
      <c r="P93" s="158"/>
      <c r="Q93" s="159"/>
      <c r="R93" s="160"/>
      <c r="S93" s="161"/>
      <c r="T93" s="162"/>
      <c r="U93" s="159"/>
      <c r="V93" s="160"/>
    </row>
    <row r="94" ht="14.25" customHeight="1">
      <c r="B94" s="13"/>
      <c r="E94" s="141"/>
      <c r="F94" s="73"/>
      <c r="G94" s="73"/>
      <c r="H94" s="141"/>
      <c r="I94" s="153"/>
      <c r="J94" s="154"/>
      <c r="K94" s="155"/>
      <c r="L94" s="156"/>
      <c r="M94" s="155"/>
      <c r="N94" s="154"/>
      <c r="O94" s="157"/>
      <c r="P94" s="158"/>
      <c r="Q94" s="159"/>
      <c r="R94" s="160"/>
      <c r="S94" s="161"/>
      <c r="T94" s="162"/>
      <c r="U94" s="159"/>
      <c r="V94" s="160"/>
    </row>
    <row r="95" ht="14.25" customHeight="1">
      <c r="B95" s="13"/>
      <c r="E95" s="141"/>
      <c r="F95" s="73"/>
      <c r="G95" s="73"/>
      <c r="H95" s="141"/>
      <c r="I95" s="153"/>
      <c r="J95" s="154"/>
      <c r="K95" s="155"/>
      <c r="L95" s="156"/>
      <c r="M95" s="155"/>
      <c r="N95" s="154"/>
      <c r="O95" s="157"/>
      <c r="P95" s="158"/>
      <c r="Q95" s="159"/>
      <c r="R95" s="160"/>
      <c r="S95" s="161"/>
      <c r="T95" s="162"/>
      <c r="U95" s="159"/>
      <c r="V95" s="160"/>
    </row>
    <row r="96" ht="14.25" customHeight="1">
      <c r="B96" s="13"/>
      <c r="E96" s="141"/>
      <c r="F96" s="73"/>
      <c r="G96" s="73"/>
      <c r="H96" s="141"/>
      <c r="I96" s="153"/>
      <c r="J96" s="154"/>
      <c r="K96" s="155"/>
      <c r="L96" s="156"/>
      <c r="M96" s="155"/>
      <c r="N96" s="154"/>
      <c r="O96" s="157"/>
      <c r="P96" s="158"/>
      <c r="Q96" s="159"/>
      <c r="R96" s="160"/>
      <c r="S96" s="161"/>
      <c r="T96" s="162"/>
      <c r="U96" s="159"/>
      <c r="V96" s="160"/>
    </row>
    <row r="97" ht="14.25" customHeight="1">
      <c r="B97" s="13"/>
      <c r="E97" s="141"/>
      <c r="F97" s="73"/>
      <c r="G97" s="73"/>
      <c r="H97" s="141"/>
      <c r="I97" s="153"/>
      <c r="J97" s="154"/>
      <c r="K97" s="155"/>
      <c r="L97" s="156"/>
      <c r="M97" s="155"/>
      <c r="N97" s="154"/>
      <c r="O97" s="157"/>
      <c r="P97" s="158"/>
      <c r="Q97" s="159"/>
      <c r="R97" s="160"/>
      <c r="S97" s="161"/>
      <c r="T97" s="162"/>
      <c r="U97" s="159"/>
      <c r="V97" s="160"/>
    </row>
    <row r="98" ht="14.25" customHeight="1">
      <c r="B98" s="13"/>
      <c r="E98" s="141"/>
      <c r="F98" s="73"/>
      <c r="G98" s="73"/>
      <c r="H98" s="141"/>
      <c r="I98" s="153"/>
      <c r="J98" s="154"/>
      <c r="K98" s="155"/>
      <c r="L98" s="156"/>
      <c r="M98" s="155"/>
      <c r="N98" s="154"/>
      <c r="O98" s="157"/>
      <c r="P98" s="158"/>
      <c r="Q98" s="159"/>
      <c r="R98" s="160"/>
      <c r="S98" s="161"/>
      <c r="T98" s="162"/>
      <c r="U98" s="159"/>
      <c r="V98" s="160"/>
    </row>
    <row r="99" ht="14.25" customHeight="1">
      <c r="B99" s="13"/>
      <c r="E99" s="141"/>
      <c r="F99" s="73"/>
      <c r="G99" s="73"/>
      <c r="H99" s="141"/>
      <c r="I99" s="153"/>
      <c r="J99" s="154"/>
      <c r="K99" s="155"/>
      <c r="L99" s="156"/>
      <c r="M99" s="155"/>
      <c r="N99" s="154"/>
      <c r="O99" s="157"/>
      <c r="P99" s="158"/>
      <c r="Q99" s="159"/>
      <c r="R99" s="160"/>
      <c r="S99" s="161"/>
      <c r="T99" s="162"/>
      <c r="U99" s="159"/>
      <c r="V99" s="160"/>
    </row>
    <row r="100" ht="14.25" customHeight="1">
      <c r="B100" s="13"/>
      <c r="E100" s="141"/>
      <c r="F100" s="73"/>
      <c r="G100" s="73"/>
      <c r="H100" s="141"/>
      <c r="I100" s="153"/>
      <c r="J100" s="154"/>
      <c r="K100" s="155"/>
      <c r="L100" s="156"/>
      <c r="M100" s="155"/>
      <c r="N100" s="154"/>
      <c r="O100" s="157"/>
      <c r="P100" s="158"/>
      <c r="Q100" s="159"/>
      <c r="R100" s="160"/>
      <c r="S100" s="161"/>
      <c r="T100" s="162"/>
      <c r="U100" s="159"/>
      <c r="V100" s="160"/>
    </row>
  </sheetData>
  <mergeCells count="2">
    <mergeCell ref="C1:D1"/>
    <mergeCell ref="F1:G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Raw material</vt:lpstr>
      <vt:lpstr>Needs</vt:lpstr>
      <vt:lpstr>Package</vt:lpstr>
      <vt:lpstr>Sticker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2025-09-10T08:45:39Z</dcterms:created>
  <dc:creator>Christine Amir</dc:creator>
  <cp:lastModifiedBy>Anas Abdalla</cp:lastModifiedBy>
  <cp:lastPrinted>2026-02-01T12:07:34Z</cp:lastPrinted>
  <dcterms:modified xsi:type="dcterms:W3CDTF">2026-02-03T10:46:41Z</dcterms:modified>
</cp:coreProperties>
</file>